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gunasundhari\OneDrive\Documents\dashboard\"/>
    </mc:Choice>
  </mc:AlternateContent>
  <xr:revisionPtr revIDLastSave="0" documentId="13_ncr:1_{C9356661-2B25-4769-8083-D99B1A4DE650}" xr6:coauthVersionLast="47" xr6:coauthVersionMax="47" xr10:uidLastSave="{00000000-0000-0000-0000-000000000000}"/>
  <bookViews>
    <workbookView xWindow="-108" yWindow="-108" windowWidth="23256" windowHeight="12456" activeTab="2" xr2:uid="{B751CF58-29F4-4D1A-BB9C-1CD63977904B}"/>
  </bookViews>
  <sheets>
    <sheet name="dataset" sheetId="1" r:id="rId1"/>
    <sheet name="pivot tables and slicers" sheetId="2" r:id="rId2"/>
    <sheet name="Dashboard" sheetId="10" r:id="rId3"/>
  </sheets>
  <definedNames>
    <definedName name="Slicer_Category">#N/A</definedName>
    <definedName name="Slicer_Region">#N/A</definedName>
    <definedName name="Slicer_Segment">#N/A</definedName>
    <definedName name="Slicer_Ship_Mode">#N/A</definedName>
    <definedName name="Slicer_Years__Order_Date">#N/A</definedName>
  </definedNames>
  <calcPr calcId="191028"/>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4" i="1" l="1"/>
  <c r="W16" i="1"/>
  <c r="W13"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W10" i="1"/>
  <c r="W7" i="1"/>
</calcChain>
</file>

<file path=xl/sharedStrings.xml><?xml version="1.0" encoding="utf-8"?>
<sst xmlns="http://schemas.openxmlformats.org/spreadsheetml/2006/main" count="2020" uniqueCount="635">
  <si>
    <t>Row Labels</t>
  </si>
  <si>
    <t>Sum of Sales</t>
  </si>
  <si>
    <t>Jul</t>
  </si>
  <si>
    <t>Technology</t>
  </si>
  <si>
    <t>Supplies</t>
  </si>
  <si>
    <t>Central</t>
  </si>
  <si>
    <t>AT&amp;T CL83451 4-Handset Telephone</t>
  </si>
  <si>
    <t>Feb</t>
  </si>
  <si>
    <t>Office Supplies</t>
  </si>
  <si>
    <t>Fasteners</t>
  </si>
  <si>
    <t>East</t>
  </si>
  <si>
    <t>Bretford CR4500 Series Slim Rectangular Table</t>
  </si>
  <si>
    <t>Jan</t>
  </si>
  <si>
    <t>Furniture</t>
  </si>
  <si>
    <t>Labels</t>
  </si>
  <si>
    <t>South</t>
  </si>
  <si>
    <t>Chromcraft Rectangular Conference Tables</t>
  </si>
  <si>
    <t>May</t>
  </si>
  <si>
    <t>Grand Total</t>
  </si>
  <si>
    <t>Envelopes</t>
  </si>
  <si>
    <t>West</t>
  </si>
  <si>
    <t>GE 30524EE4</t>
  </si>
  <si>
    <t>Aug</t>
  </si>
  <si>
    <t>Paper</t>
  </si>
  <si>
    <t>Hunt BOSTON Model 1606 High-Volume Electric Pencil Sharpener, Beige</t>
  </si>
  <si>
    <t>Mar</t>
  </si>
  <si>
    <t>Accessories</t>
  </si>
  <si>
    <t>Konftel 250 ConferenceÂ phoneÂ - Charcoal black</t>
  </si>
  <si>
    <t>Apr</t>
  </si>
  <si>
    <t>Binders</t>
  </si>
  <si>
    <t>Mitel 5320 IP Phone VoIP phone</t>
  </si>
  <si>
    <t>Oct</t>
  </si>
  <si>
    <t>Appliances</t>
  </si>
  <si>
    <t>Riverside Palais Royal Lawyers Bookcase, Royale Cherry Finish</t>
  </si>
  <si>
    <t>Nov</t>
  </si>
  <si>
    <t>Furnishings</t>
  </si>
  <si>
    <t>Safco Industrial Wire Shelving</t>
  </si>
  <si>
    <t>Jun</t>
  </si>
  <si>
    <t>Art</t>
  </si>
  <si>
    <t>Sanyo 2.5 Cubic Foot Mid-Size Office Refrigerators</t>
  </si>
  <si>
    <t>Sep</t>
  </si>
  <si>
    <t>Storage</t>
  </si>
  <si>
    <t>Dec</t>
  </si>
  <si>
    <t>Chairs</t>
  </si>
  <si>
    <t>Bookcases</t>
  </si>
  <si>
    <t>Tables</t>
  </si>
  <si>
    <t>Phones</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</si>
  <si>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</si>
  <si>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</si>
  <si>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</si>
  <si>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</si>
  <si>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</si>
  <si>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</si>
  <si>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</si>
  <si>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</si>
  <si>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</si>
  <si>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</si>
  <si>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</si>
  <si>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</si>
  <si>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</si>
  <si>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</si>
  <si>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</si>
  <si>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</si>
  <si>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</si>
  <si>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</si>
  <si>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values</t>
  </si>
  <si>
    <t>CA-2017-152156</t>
  </si>
  <si>
    <t>Second Class</t>
  </si>
  <si>
    <t>CG-12520</t>
  </si>
  <si>
    <t>Claire Gute</t>
  </si>
  <si>
    <t>Consumer</t>
  </si>
  <si>
    <t>United States</t>
  </si>
  <si>
    <t>Henderson</t>
  </si>
  <si>
    <t>Kentucky</t>
  </si>
  <si>
    <t>FUR-BO-10001798</t>
  </si>
  <si>
    <t>Bush Somerset Collection Bookcase</t>
  </si>
  <si>
    <t>FUR-CH-10000454</t>
  </si>
  <si>
    <t>Hon Deluxe Fabric Upholstered Stacking Chairs, Rounded Back</t>
  </si>
  <si>
    <t>total sales</t>
  </si>
  <si>
    <t>CA-2017-138688</t>
  </si>
  <si>
    <t>DV-13045</t>
  </si>
  <si>
    <t>Darrin Van Huff</t>
  </si>
  <si>
    <t>Corporate</t>
  </si>
  <si>
    <t>Los Angeles</t>
  </si>
  <si>
    <t>California</t>
  </si>
  <si>
    <t>OFF-LA-10000240</t>
  </si>
  <si>
    <t>Self-Adhesive Address Labels for Typewriters by Universal</t>
  </si>
  <si>
    <t>US-2016-108966</t>
  </si>
  <si>
    <t>Standard Class</t>
  </si>
  <si>
    <t>SO-20335</t>
  </si>
  <si>
    <t>Sean O'Donnell</t>
  </si>
  <si>
    <t>Fort Lauderdale</t>
  </si>
  <si>
    <t>Florida</t>
  </si>
  <si>
    <t>FUR-TA-10000577</t>
  </si>
  <si>
    <t>OFF-ST-10000760</t>
  </si>
  <si>
    <t>Eldon Fold 'N Roll Cart System</t>
  </si>
  <si>
    <t>total orders</t>
  </si>
  <si>
    <t>CA-2015-115812</t>
  </si>
  <si>
    <t>BH-11710</t>
  </si>
  <si>
    <t>Brosina Hoffman</t>
  </si>
  <si>
    <t>FUR-FU-10001487</t>
  </si>
  <si>
    <t>Eldon Expressions Wood and Plastic Desk Accessories, Cherry Wood</t>
  </si>
  <si>
    <t>OFF-AR-10002833</t>
  </si>
  <si>
    <t>Newell 322</t>
  </si>
  <si>
    <t>TEC-PH-10002275</t>
  </si>
  <si>
    <t>total customers</t>
  </si>
  <si>
    <t>OFF-BI-10003910</t>
  </si>
  <si>
    <t>DXL Angle-View Binders with Locking Rings by Samsill</t>
  </si>
  <si>
    <t>OFF-AP-10002892</t>
  </si>
  <si>
    <t>Belkin F5C206VTEL 6 Outlet Surge</t>
  </si>
  <si>
    <t>FUR-TA-10001539</t>
  </si>
  <si>
    <t>TEC-PH-10002033</t>
  </si>
  <si>
    <t>CA-2018-114412</t>
  </si>
  <si>
    <t>AA-10480</t>
  </si>
  <si>
    <t>Andrew Allen</t>
  </si>
  <si>
    <t>Concord</t>
  </si>
  <si>
    <t>North Carolina</t>
  </si>
  <si>
    <t>OFF-PA-10002365</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</si>
  <si>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</si>
  <si>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</si>
  <si>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</si>
  <si>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</si>
  <si>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</si>
  <si>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</si>
  <si>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</si>
  <si>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</si>
  <si>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</si>
  <si>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</si>
  <si>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</si>
  <si>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</si>
  <si>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</si>
  <si>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</si>
  <si>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</si>
  <si>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</si>
  <si>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</si>
  <si>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</si>
  <si>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</si>
  <si>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</si>
  <si>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</si>
  <si>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</si>
  <si>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</si>
  <si>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</si>
  <si>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</si>
  <si>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</si>
  <si>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</si>
  <si>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</si>
  <si>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</si>
  <si>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</si>
  <si>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</si>
  <si>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</si>
  <si>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</si>
  <si>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</si>
  <si>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</si>
  <si>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</si>
  <si>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</si>
  <si>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</si>
  <si>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</si>
  <si>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</si>
  <si>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</si>
  <si>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</si>
  <si>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</si>
  <si>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</si>
  <si>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</si>
  <si>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</si>
  <si>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</si>
  <si>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</si>
  <si>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</si>
  <si>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</si>
  <si>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</si>
  <si>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</si>
  <si>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</si>
  <si>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</si>
  <si>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</si>
  <si>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</si>
  <si>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</si>
  <si>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</si>
  <si>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</si>
  <si>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</si>
  <si>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</si>
  <si>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</si>
  <si>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</si>
  <si>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</si>
  <si>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</si>
  <si>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</si>
  <si>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</si>
  <si>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</si>
  <si>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ImationÂ 8GB Mini TravelDrive USB 2.0Â Flash Drive</t>
  </si>
  <si>
    <t>US-2016-150630</t>
  </si>
  <si>
    <t>TB-21520</t>
  </si>
  <si>
    <t>Tracy Blumstein</t>
  </si>
  <si>
    <t>FUR-BO-10004834</t>
  </si>
  <si>
    <t>OFF-BI-10000474</t>
  </si>
  <si>
    <t>Avery Recycled Flexi-View Covers for Binding Systems</t>
  </si>
  <si>
    <t>FUR-FU-10004848</t>
  </si>
  <si>
    <t>Howard Miller 13-3/4" Diameter Brushed Chrome Round Wall Clock</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</si>
  <si>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</si>
  <si>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</si>
  <si>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</si>
  <si>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</si>
  <si>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</si>
  <si>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</si>
  <si>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</si>
  <si>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</si>
  <si>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</si>
  <si>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</si>
  <si>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</si>
  <si>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</si>
  <si>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</si>
  <si>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</si>
  <si>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</si>
  <si>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</si>
  <si>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</si>
  <si>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</si>
  <si>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</si>
  <si>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</si>
  <si>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</si>
  <si>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</si>
  <si>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</si>
  <si>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</si>
  <si>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</si>
  <si>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</si>
  <si>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</si>
  <si>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</si>
  <si>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</si>
  <si>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</si>
  <si>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</si>
  <si>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</si>
  <si>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</si>
  <si>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</si>
  <si>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</si>
  <si>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</si>
  <si>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</si>
  <si>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</si>
  <si>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</si>
  <si>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</si>
  <si>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</si>
  <si>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</si>
  <si>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</si>
  <si>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</si>
  <si>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</si>
  <si>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</si>
  <si>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</si>
  <si>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</si>
  <si>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</si>
  <si>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</si>
  <si>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</si>
  <si>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</si>
  <si>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</si>
  <si>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</si>
  <si>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</si>
  <si>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</si>
  <si>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</si>
  <si>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</si>
  <si>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</si>
  <si>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</si>
  <si>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</si>
  <si>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</si>
  <si>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</si>
  <si>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</si>
  <si>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</si>
  <si>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</si>
  <si>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</si>
  <si>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</si>
  <si>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</si>
  <si>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</si>
  <si>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</si>
  <si>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</si>
  <si>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</si>
  <si>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</si>
  <si>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</si>
  <si>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</si>
  <si>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</si>
  <si>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</si>
  <si>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</si>
  <si>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</si>
  <si>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</si>
  <si>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</si>
  <si>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</si>
  <si>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</si>
  <si>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</si>
  <si>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</si>
  <si>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</si>
  <si>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</si>
  <si>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</si>
  <si>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</si>
  <si>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</si>
  <si>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</si>
  <si>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</si>
  <si>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</si>
  <si>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</si>
  <si>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Advantus Push Pins</t>
  </si>
  <si>
    <t>TEC-PH-10002447</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</si>
  <si>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</si>
  <si>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</si>
  <si>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</si>
  <si>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</si>
  <si>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</si>
  <si>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</si>
  <si>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</si>
  <si>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</si>
  <si>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</si>
  <si>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</si>
  <si>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</si>
  <si>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</si>
  <si>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</si>
  <si>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</si>
  <si>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</si>
  <si>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</si>
  <si>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</si>
  <si>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</si>
  <si>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</si>
  <si>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</si>
  <si>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</si>
  <si>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</si>
  <si>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</si>
  <si>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</si>
  <si>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</si>
  <si>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</si>
  <si>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</si>
  <si>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</si>
  <si>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</si>
  <si>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</si>
  <si>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</si>
  <si>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</si>
  <si>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</si>
  <si>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</si>
  <si>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</si>
  <si>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</si>
  <si>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</si>
  <si>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</si>
  <si>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</si>
  <si>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</si>
  <si>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</si>
  <si>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</si>
  <si>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</si>
  <si>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</si>
  <si>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</si>
  <si>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</si>
  <si>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</si>
  <si>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</si>
  <si>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</si>
  <si>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</si>
  <si>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</si>
  <si>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</si>
  <si>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</si>
  <si>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</si>
  <si>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</si>
  <si>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</si>
  <si>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</si>
  <si>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</si>
  <si>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</si>
  <si>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</si>
  <si>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</si>
  <si>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</si>
  <si>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</si>
  <si>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</si>
  <si>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</si>
  <si>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</si>
  <si>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</si>
  <si>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</si>
  <si>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</si>
  <si>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</si>
  <si>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</si>
  <si>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</si>
  <si>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</si>
  <si>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</si>
  <si>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</si>
  <si>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</si>
  <si>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</si>
  <si>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</si>
  <si>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</si>
  <si>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</si>
  <si>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</si>
  <si>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</si>
  <si>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</si>
  <si>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</si>
  <si>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</si>
  <si>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</si>
  <si>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</si>
  <si>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</si>
  <si>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</si>
  <si>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</si>
  <si>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</si>
  <si>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</si>
  <si>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</si>
  <si>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</si>
  <si>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</si>
  <si>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</si>
  <si>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</si>
  <si>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</si>
  <si>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</si>
  <si>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</si>
  <si>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</si>
  <si>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</si>
  <si>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</si>
  <si>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</si>
  <si>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</si>
  <si>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</si>
  <si>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</si>
  <si>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</si>
  <si>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</si>
  <si>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</si>
  <si>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</si>
  <si>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</si>
  <si>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</si>
  <si>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</si>
  <si>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</si>
  <si>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</si>
  <si>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</si>
  <si>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</si>
  <si>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</si>
  <si>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</si>
  <si>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</si>
  <si>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</si>
  <si>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</si>
  <si>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</si>
  <si>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</si>
  <si>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</si>
  <si>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</si>
  <si>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</si>
  <si>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</si>
  <si>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</si>
  <si>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</si>
  <si>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</si>
  <si>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</si>
  <si>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</si>
  <si>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</si>
  <si>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</si>
  <si>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</si>
  <si>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</si>
  <si>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</si>
  <si>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</si>
  <si>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</si>
  <si>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</si>
  <si>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</si>
  <si>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</si>
  <si>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</si>
  <si>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</si>
  <si>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</si>
  <si>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</si>
  <si>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</si>
  <si>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</si>
  <si>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</si>
  <si>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</si>
  <si>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</si>
  <si>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</si>
  <si>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</si>
  <si>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</si>
  <si>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</si>
  <si>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</si>
  <si>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</si>
  <si>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</si>
  <si>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</si>
  <si>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</si>
  <si>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</si>
  <si>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</si>
  <si>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</si>
  <si>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</si>
  <si>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</si>
  <si>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</si>
  <si>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</si>
  <si>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</si>
  <si>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</si>
  <si>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</si>
  <si>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</si>
  <si>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</si>
  <si>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</si>
  <si>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</si>
  <si>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</si>
  <si>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</si>
  <si>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</si>
  <si>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</si>
  <si>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</si>
  <si>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</si>
  <si>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</si>
  <si>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</si>
  <si>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</si>
  <si>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</si>
  <si>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</si>
  <si>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</si>
  <si>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</si>
  <si>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</si>
  <si>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</si>
  <si>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</si>
  <si>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</si>
  <si>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</si>
  <si>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</si>
  <si>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</si>
  <si>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</si>
  <si>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</si>
  <si>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</si>
  <si>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</si>
  <si>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</si>
  <si>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</si>
  <si>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</si>
  <si>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</si>
  <si>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</si>
  <si>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</si>
  <si>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</si>
  <si>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</si>
  <si>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</si>
  <si>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</si>
  <si>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</si>
  <si>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</si>
  <si>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</si>
  <si>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</si>
  <si>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</si>
  <si>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</si>
  <si>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</si>
  <si>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</si>
  <si>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</si>
  <si>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</si>
  <si>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</si>
  <si>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</si>
  <si>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</si>
  <si>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</si>
  <si>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</si>
  <si>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</si>
  <si>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</si>
  <si>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</si>
  <si>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</si>
  <si>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</si>
  <si>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</si>
  <si>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</si>
  <si>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</si>
  <si>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</si>
  <si>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</si>
  <si>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</si>
  <si>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</si>
  <si>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</si>
  <si>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</si>
  <si>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</si>
  <si>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</si>
  <si>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</si>
  <si>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</si>
  <si>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</si>
  <si>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</si>
  <si>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</si>
  <si>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</si>
  <si>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</si>
  <si>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</si>
  <si>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</si>
  <si>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</si>
  <si>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</si>
  <si>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</si>
  <si>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</si>
  <si>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</si>
  <si>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</si>
  <si>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</si>
  <si>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</si>
  <si>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</si>
  <si>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</si>
  <si>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</si>
  <si>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</si>
  <si>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</si>
  <si>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</si>
  <si>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</si>
  <si>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</si>
  <si>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</si>
  <si>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</si>
  <si>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</si>
  <si>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</si>
  <si>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</si>
  <si>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</si>
  <si>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</si>
  <si>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</si>
  <si>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</si>
  <si>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</si>
  <si>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</si>
  <si>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</si>
  <si>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</si>
  <si>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</si>
  <si>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</si>
  <si>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</si>
  <si>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</si>
  <si>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</si>
  <si>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</si>
  <si>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</si>
  <si>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</si>
  <si>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</si>
  <si>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</si>
  <si>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</si>
  <si>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</si>
  <si>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</si>
  <si>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</si>
  <si>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</si>
  <si>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</si>
  <si>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</si>
  <si>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</si>
  <si>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</si>
  <si>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</si>
  <si>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</si>
  <si>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</si>
  <si>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</si>
  <si>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</si>
  <si>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</si>
  <si>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</si>
  <si>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</si>
  <si>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</si>
  <si>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</si>
  <si>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</si>
  <si>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</si>
  <si>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</si>
  <si>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</si>
  <si>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</si>
  <si>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</si>
  <si>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</si>
  <si>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</si>
  <si>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</si>
  <si>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</si>
  <si>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</si>
  <si>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</si>
  <si>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</si>
  <si>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</si>
  <si>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</si>
  <si>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</si>
  <si>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</si>
  <si>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</si>
  <si>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</si>
  <si>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</si>
  <si>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</si>
  <si>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</si>
  <si>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</si>
  <si>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</si>
  <si>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</si>
  <si>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</si>
  <si>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</si>
  <si>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</si>
  <si>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</si>
  <si>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</si>
  <si>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</si>
  <si>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</si>
  <si>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</si>
  <si>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avg shipping days</t>
  </si>
  <si>
    <t>average daily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</si>
</sst>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 #,##0.00;&quot;₹&quot;\ \-#,##0.00"/>
    <numFmt numFmtId="164" formatCode="&quot;₹&quot;\ #,##0.00"/>
    <numFmt numFmtId="165" formatCode="&quot;₹&quot;\ #,##0.00,&quot;k&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7" fontId="0" fillId="0" borderId="0" xfId="0" applyNumberFormat="1"/>
    <xf numFmtId="164" fontId="0" fillId="0" borderId="0" xfId="0" applyNumberFormat="1"/>
    <xf numFmtId="165"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0" formatCode="General"/>
    </dxf>
    <dxf>
      <numFmt numFmtId="19" formatCode="dd/mm/yyyy"/>
    </dxf>
    <dxf>
      <numFmt numFmtId="19" formatCode="dd/mm/yyyy"/>
    </dxf>
  </dxfs>
  <tableStyles count="0" defaultTableStyle="TableStyleMedium2" defaultPivotStyle="PivotStyleLight16"/>
  <colors>
    <mruColors>
      <color rgb="FF66CCFF"/>
      <color rgb="FF008080"/>
      <color rgb="FF00CC99"/>
      <color rgb="FF006600"/>
      <color rgb="FF339933"/>
      <color rgb="FF339966"/>
      <color rgb="FF009900"/>
      <color rgb="FFE5FBFF"/>
      <color rgb="FFCCFFFF"/>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[sales_dashboard.xlsx]pivot tables and slicers!PivotTable1</c:name>
    <c:fmtId val="50"/>
  </c:pivotSource>
  <c:chart>
    <c:title>
      <c:tx>
        <c:rich>
          <a:bodyPr rot="0" spcFirstLastPara="1" vertOverflow="ellipsis" vert="horz" wrap="square" anchor="ctr" anchorCtr="1"/>
          <a:lstStyle/>
          <a:p>
            <a:pPr>
              <a:defRPr sz="1800" b="1" i="0" u="none" strike="noStrike" kern="1200" cap="none" spc="20" baseline="0">
                <a:solidFill>
                  <a:schemeClr val="bg1"/>
                </a:solidFill>
                <a:latin typeface="+mn-lt"/>
                <a:ea typeface="+mn-ea"/>
                <a:cs typeface="+mn-cs"/>
              </a:defRPr>
            </a:pPr>
            <a:r>
              <a:rPr lang="en-US" sz="1800" b="1"/>
              <a:t>Sales Trend</a:t>
            </a:r>
          </a:p>
        </c:rich>
      </c:tx>
      <c:overlay val="1"/>
      <c:spPr>
        <a:noFill/>
        <a:ln>
          <a:noFill/>
        </a:ln>
        <a:effectLst/>
      </c:spPr>
      <c:txPr>
        <a:bodyPr rot="0" spcFirstLastPara="1" vertOverflow="ellipsis" vert="horz" wrap="square" anchor="ctr" anchorCtr="1"/>
        <a:lstStyle/>
        <a:p>
          <a:pPr>
            <a:defRPr sz="1800" b="1" i="0" u="none" strike="noStrike" kern="1200" cap="none" spc="20" baseline="0">
              <a:solidFill>
                <a:schemeClr val="bg1"/>
              </a:solidFill>
              <a:latin typeface="+mn-lt"/>
              <a:ea typeface="+mn-ea"/>
              <a:cs typeface="+mn-cs"/>
            </a:defRPr>
          </a:pPr>
          <a:endParaRPr lang="en-US"/>
        </a:p>
      </c:txPr>
    </c:title>
    <c:autoTitleDeleted val="0"/>
    <c:pivotFmts>
      <c:pivotFmt>
        <c:idx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rgbClr val="008080"/>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rgbClr val="008080"/>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rgbClr val="008080"/>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rgbClr val="008080"/>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rgbClr val="008080"/>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rgbClr val="008080"/>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rgbClr val="008080"/>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bg1"/>
            </a:solidFill>
            <a:round/>
          </a:ln>
          <a:effectLst/>
        </c:spPr>
        <c:marker>
          <c:symbol val="circle"/>
          <c:size val="4"/>
          <c:spPr>
            <a:solidFill>
              <a:schemeClr val="accent6"/>
            </a:solidFill>
            <a:ln w="9525" cap="flat" cmpd="sng" algn="ctr">
              <a:solidFill>
                <a:schemeClr val="bg1"/>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bg1"/>
            </a:solidFill>
            <a:round/>
          </a:ln>
          <a:effectLst/>
        </c:spPr>
        <c:marker>
          <c:symbol val="circle"/>
          <c:size val="4"/>
          <c:spPr>
            <a:solidFill>
              <a:schemeClr val="accent6"/>
            </a:solidFill>
            <a:ln w="9525" cap="flat" cmpd="sng" algn="ctr">
              <a:solidFill>
                <a:schemeClr val="bg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cmpd="sng" algn="ctr">
            <a:solidFill>
              <a:schemeClr val="bg1"/>
            </a:solidFill>
            <a:round/>
          </a:ln>
          <a:effectLst/>
        </c:spPr>
        <c:marker>
          <c:symbol val="circle"/>
          <c:size val="4"/>
          <c:spPr>
            <a:solidFill>
              <a:schemeClr val="accent6"/>
            </a:solidFill>
            <a:ln w="9525" cap="flat" cmpd="sng" algn="ctr">
              <a:solidFill>
                <a:schemeClr val="bg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87358275734881"/>
          <c:y val="5.7261954278358479E-2"/>
          <c:w val="0.82681548716797371"/>
          <c:h val="0.78907762038255047"/>
        </c:manualLayout>
      </c:layout>
      <c:lineChart>
        <c:grouping val="standard"/>
        <c:varyColors val="0"/>
        <c:ser>
          <c:idx val="0"/>
          <c:order val="0"/>
          <c:tx>
            <c:strRef>
              <c:f>'pivot tables and slicers'!$B$3</c:f>
              <c:strCache>
                <c:ptCount val="1"/>
                <c:pt idx="0">
                  <c:v>Total</c:v>
                </c:pt>
              </c:strCache>
            </c:strRef>
          </c:tx>
          <c:spPr>
            <a:ln w="22225" cap="rnd" cmpd="sng" algn="ctr">
              <a:solidFill>
                <a:schemeClr val="bg1"/>
              </a:solidFill>
              <a:round/>
            </a:ln>
            <a:effectLst/>
          </c:spPr>
          <c:marker>
            <c:symbol val="circle"/>
            <c:size val="4"/>
            <c:spPr>
              <a:solidFill>
                <a:schemeClr val="accent6"/>
              </a:solidFill>
              <a:ln w="9525" cap="flat" cmpd="sng" algn="ctr">
                <a:solidFill>
                  <a:schemeClr val="bg1"/>
                </a:solidFill>
                <a:round/>
              </a:ln>
              <a:effectLst/>
            </c:spPr>
          </c:marker>
          <c:cat>
            <c:strRef>
              <c:f>'pivot tables and slicers'!$A$4:$A$16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 and slicers'!$B$4:$B$16</c:f>
              <c:numCache>
                <c:formatCode>General</c:formatCode>
                <c:ptCount val="12"/>
                <c:pt idx="0">
                  <c:v>201.47800000000001</c:v>
                </c:pt>
                <c:pt idx="1">
                  <c:v>159.72999999999999</c:v>
                </c:pt>
                <c:pt idx="2">
                  <c:v>850.97</c:v>
                </c:pt>
                <c:pt idx="3">
                  <c:v>1756.1390000000001</c:v>
                </c:pt>
                <c:pt idx="4">
                  <c:v>357.46</c:v>
                </c:pt>
                <c:pt idx="5">
                  <c:v>5290.4060000000009</c:v>
                </c:pt>
                <c:pt idx="6">
                  <c:v>149.25200000000001</c:v>
                </c:pt>
                <c:pt idx="7">
                  <c:v>606.404</c:v>
                </c:pt>
                <c:pt idx="8">
                  <c:v>6555.3519999999999</c:v>
                </c:pt>
                <c:pt idx="9">
                  <c:v>1973.8615</c:v>
                </c:pt>
                <c:pt idx="10">
                  <c:v>3502.4260000000008</c:v>
                </c:pt>
                <c:pt idx="11">
                  <c:v>7409.8791999999994</c:v>
                </c:pt>
              </c:numCache>
            </c:numRef>
          </c:val>
          <c:smooth val="0"/>
          <c:extLst>
            <c:ext xmlns:c16="http://schemas.microsoft.com/office/drawing/2014/chart" uri="{C3380CC4-5D6E-409C-BE32-E72D297353CC}">
              <c16:uniqueId val="{00000000-0D5F-4819-B4A3-2F14A22BD976}"/>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10689200"/>
        <c:axId val="210684400"/>
      </c:lineChart>
      <c:catAx>
        <c:axId val="21068920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bg1"/>
                </a:solidFill>
                <a:latin typeface="+mn-lt"/>
                <a:ea typeface="+mn-ea"/>
                <a:cs typeface="+mn-cs"/>
              </a:defRPr>
            </a:pPr>
            <a:endParaRPr lang="en-US"/>
          </a:p>
        </c:txPr>
        <c:crossAx val="210684400"/>
        <c:crosses val="autoZero"/>
        <c:auto val="1"/>
        <c:lblAlgn val="ctr"/>
        <c:lblOffset val="100"/>
        <c:noMultiLvlLbl val="0"/>
      </c:catAx>
      <c:valAx>
        <c:axId val="210684400"/>
        <c:scaling>
          <c:orientation val="minMax"/>
        </c:scaling>
        <c:delete val="1"/>
        <c:axPos val="l"/>
        <c:numFmt formatCode="General" sourceLinked="1"/>
        <c:majorTickMark val="none"/>
        <c:minorTickMark val="none"/>
        <c:tickLblPos val="nextTo"/>
        <c:crossAx val="210689200"/>
        <c:crosses val="autoZero"/>
        <c:crossBetween val="between"/>
      </c:valAx>
      <c:dTable>
        <c:showHorzBorder val="1"/>
        <c:showVertBorder val="1"/>
        <c:showOutline val="1"/>
        <c:showKeys val="0"/>
        <c:spPr>
          <a:noFill/>
          <a:ln w="9525">
            <a:solidFill>
              <a:schemeClr val="dk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dTable>
      <c:spPr>
        <a:solidFill>
          <a:schemeClr val="accent1">
            <a:lumMod val="75000"/>
          </a:schemeClr>
        </a:solidFill>
        <a:ln>
          <a:noFill/>
        </a:ln>
        <a:effectLst/>
      </c:spPr>
    </c:plotArea>
    <c:plotVisOnly val="1"/>
    <c:dispBlanksAs val="gap"/>
    <c:showDLblsOverMax val="0"/>
    <c:extLst/>
  </c:chart>
  <c:spPr>
    <a:solidFill>
      <a:schemeClr val="accent1">
        <a:lumMod val="75000"/>
      </a:schemeClr>
    </a:solidFill>
    <a:ln w="19050" cap="rnd"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tables and slicers!PivotTable2</c:name>
    <c:fmtId val="44"/>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Sales</a:t>
            </a:r>
            <a:r>
              <a:rPr lang="en-US" sz="1600" b="1" baseline="0">
                <a:solidFill>
                  <a:schemeClr val="bg1"/>
                </a:solidFill>
              </a:rPr>
              <a:t> by Category</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rgbClr val="008080"/>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5400000" algn="t" rotWithShape="0">
              <a:prstClr val="black">
                <a:alpha val="40000"/>
              </a:prstClr>
            </a:outerShdw>
          </a:effectLst>
          <a:scene3d>
            <a:camera prst="orthographicFront"/>
            <a:lightRig rig="harsh" dir="t">
              <a:rot lat="0" lon="0" rev="3000000"/>
            </a:lightRig>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008080"/>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5400000" algn="t" rotWithShape="0">
              <a:prstClr val="black">
                <a:alpha val="40000"/>
              </a:prstClr>
            </a:outerShdw>
          </a:effectLst>
          <a:scene3d>
            <a:camera prst="orthographicFront"/>
            <a:lightRig rig="harsh" dir="t">
              <a:rot lat="0" lon="0" rev="3000000"/>
            </a:lightRig>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0B0F0"/>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5400000" algn="t" rotWithShape="0">
              <a:prstClr val="black">
                <a:alpha val="40000"/>
              </a:prstClr>
            </a:outerShdw>
          </a:effectLst>
          <a:scene3d>
            <a:camera prst="orthographicFront"/>
            <a:lightRig rig="harsh" dir="t">
              <a:rot lat="0" lon="0" rev="3000000"/>
            </a:lightRig>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5400000" algn="t" rotWithShape="0">
              <a:prstClr val="black">
                <a:alpha val="40000"/>
              </a:prstClr>
            </a:outerShdw>
          </a:effectLst>
          <a:scene3d>
            <a:camera prst="orthographicFront"/>
            <a:lightRig rig="harsh" dir="t">
              <a:rot lat="0" lon="0" rev="3000000"/>
            </a:lightRig>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F0"/>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5400000" algn="t" rotWithShape="0">
              <a:prstClr val="black">
                <a:alpha val="40000"/>
              </a:prstClr>
            </a:outerShdw>
          </a:effectLst>
          <a:scene3d>
            <a:camera prst="orthographicFront"/>
            <a:lightRig rig="harsh" dir="t">
              <a:rot lat="0" lon="0" rev="3000000"/>
            </a:lightRig>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slicers'!$E$3</c:f>
              <c:strCache>
                <c:ptCount val="1"/>
                <c:pt idx="0">
                  <c:v>Total</c:v>
                </c:pt>
              </c:strCache>
            </c:strRef>
          </c:tx>
          <c:spPr>
            <a:solidFill>
              <a:srgbClr val="00B0F0"/>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5400000" algn="t" rotWithShape="0">
                <a:prstClr val="black">
                  <a:alpha val="40000"/>
                </a:prstClr>
              </a:outerShdw>
            </a:effectLst>
            <a:scene3d>
              <a:camera prst="orthographicFront"/>
              <a:lightRig rig="harsh" dir="t">
                <a:rot lat="0" lon="0" rev="3000000"/>
              </a:lightRig>
            </a:scene3d>
            <a:sp3d>
              <a:bevel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slicers'!$D$4:$D$7</c:f>
              <c:strCache>
                <c:ptCount val="3"/>
                <c:pt idx="0">
                  <c:v>Technology</c:v>
                </c:pt>
                <c:pt idx="1">
                  <c:v>Office Supplies</c:v>
                </c:pt>
                <c:pt idx="2">
                  <c:v>Furniture</c:v>
                </c:pt>
              </c:strCache>
            </c:strRef>
          </c:cat>
          <c:val>
            <c:numRef>
              <c:f>'pivot tables and slicers'!$E$4:$E$7</c:f>
              <c:numCache>
                <c:formatCode>General</c:formatCode>
                <c:ptCount val="3"/>
                <c:pt idx="0">
                  <c:v>6626.1239999999998</c:v>
                </c:pt>
                <c:pt idx="1">
                  <c:v>8366.5139999999992</c:v>
                </c:pt>
                <c:pt idx="2">
                  <c:v>13820.719700000001</c:v>
                </c:pt>
              </c:numCache>
            </c:numRef>
          </c:val>
          <c:extLst>
            <c:ext xmlns:c16="http://schemas.microsoft.com/office/drawing/2014/chart" uri="{C3380CC4-5D6E-409C-BE32-E72D297353CC}">
              <c16:uniqueId val="{00000000-7E67-49BE-8C39-3966F9CA8AA9}"/>
            </c:ext>
          </c:extLst>
        </c:ser>
        <c:dLbls>
          <c:dLblPos val="outEnd"/>
          <c:showLegendKey val="0"/>
          <c:showVal val="1"/>
          <c:showCatName val="0"/>
          <c:showSerName val="0"/>
          <c:showPercent val="0"/>
          <c:showBubbleSize val="0"/>
        </c:dLbls>
        <c:gapWidth val="260"/>
        <c:overlap val="-27"/>
        <c:axId val="105807888"/>
        <c:axId val="105791568"/>
      </c:barChart>
      <c:catAx>
        <c:axId val="105807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91568"/>
        <c:crosses val="autoZero"/>
        <c:auto val="1"/>
        <c:lblAlgn val="ctr"/>
        <c:lblOffset val="100"/>
        <c:noMultiLvlLbl val="0"/>
      </c:catAx>
      <c:valAx>
        <c:axId val="105791568"/>
        <c:scaling>
          <c:orientation val="minMax"/>
        </c:scaling>
        <c:delete val="1"/>
        <c:axPos val="l"/>
        <c:numFmt formatCode="General" sourceLinked="1"/>
        <c:majorTickMark val="none"/>
        <c:minorTickMark val="none"/>
        <c:tickLblPos val="nextTo"/>
        <c:crossAx val="10580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190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tables and slicers!PivotTable3</c:name>
    <c:fmtId val="51"/>
  </c:pivotSource>
  <c:chart>
    <c:title>
      <c:tx>
        <c:rich>
          <a:bodyPr rot="0" spcFirstLastPara="1" vertOverflow="ellipsis" vert="horz" wrap="square" anchor="ctr" anchorCtr="1"/>
          <a:lstStyle/>
          <a:p>
            <a:pPr algn="ctr" rtl="0">
              <a:defRPr lang="en-US" sz="1600" b="1" i="0" u="none" strike="noStrike" kern="1200" spc="0" baseline="0">
                <a:solidFill>
                  <a:schemeClr val="bg1"/>
                </a:solidFill>
                <a:latin typeface="+mn-lt"/>
                <a:ea typeface="+mn-ea"/>
                <a:cs typeface="+mn-cs"/>
              </a:defRPr>
            </a:pPr>
            <a:r>
              <a:rPr lang="en-US" sz="1600" b="1" i="0" u="none" strike="noStrike" kern="1200" spc="0" baseline="0">
                <a:solidFill>
                  <a:schemeClr val="bg1"/>
                </a:solidFill>
                <a:latin typeface="+mn-lt"/>
                <a:ea typeface="+mn-ea"/>
                <a:cs typeface="+mn-cs"/>
              </a:rPr>
              <a:t>Sales by Sub-Category</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bg1"/>
              </a:solidFill>
              <a:latin typeface="+mn-lt"/>
              <a:ea typeface="+mn-ea"/>
              <a:cs typeface="+mn-cs"/>
            </a:defRPr>
          </a:pPr>
          <a:endParaRPr lang="en-US"/>
        </a:p>
      </c:txPr>
    </c:title>
    <c:autoTitleDeleted val="0"/>
    <c:pivotFmts>
      <c:pivotFmt>
        <c:idx val="0"/>
        <c:spPr>
          <a:solidFill>
            <a:srgbClr val="008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8080"/>
          </a:solidFill>
          <a:ln>
            <a:noFill/>
          </a:ln>
          <a:effectLst/>
        </c:spPr>
        <c:dLbl>
          <c:idx val="0"/>
          <c:layout>
            <c:manualLayout>
              <c:x val="0"/>
              <c:y val="-6.277463904582548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8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8080"/>
          </a:solidFill>
          <a:ln>
            <a:noFill/>
          </a:ln>
          <a:effectLst/>
        </c:spPr>
        <c:dLbl>
          <c:idx val="0"/>
          <c:layout>
            <c:manualLayout>
              <c:x val="0"/>
              <c:y val="-6.277463904582548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numFmt formatCode="0.00;[Red]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c:spPr>
        <c:dLbl>
          <c:idx val="0"/>
          <c:layout>
            <c:manualLayout>
              <c:x val="0"/>
              <c:y val="-6.2774639045825482E-3"/>
            </c:manualLayout>
          </c:layout>
          <c:numFmt formatCode="0.00;[Red]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F0"/>
          </a:solidFill>
          <a:ln>
            <a:noFill/>
          </a:ln>
          <a:effectLst/>
        </c:spPr>
        <c:marker>
          <c:symbol val="none"/>
        </c:marker>
        <c:dLbl>
          <c:idx val="0"/>
          <c:numFmt formatCode="0.00;[Red]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F0"/>
          </a:solidFill>
          <a:ln>
            <a:noFill/>
          </a:ln>
          <a:effectLst/>
        </c:spPr>
        <c:dLbl>
          <c:idx val="0"/>
          <c:layout>
            <c:manualLayout>
              <c:x val="0"/>
              <c:y val="-6.2774639045825482E-3"/>
            </c:manualLayout>
          </c:layout>
          <c:numFmt formatCode="0.00;[Red]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F0"/>
          </a:solidFill>
          <a:ln>
            <a:noFill/>
          </a:ln>
          <a:effectLst/>
        </c:spPr>
        <c:marker>
          <c:symbol val="none"/>
        </c:marker>
        <c:dLbl>
          <c:idx val="0"/>
          <c:numFmt formatCode="0.00;[Red]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F0"/>
          </a:solidFill>
          <a:ln>
            <a:noFill/>
          </a:ln>
          <a:effectLst/>
        </c:spPr>
        <c:dLbl>
          <c:idx val="0"/>
          <c:layout>
            <c:manualLayout>
              <c:x val="0"/>
              <c:y val="-6.2774639045825482E-3"/>
            </c:manualLayout>
          </c:layout>
          <c:numFmt formatCode="0.00;[Red]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and slicers'!$H$3</c:f>
              <c:strCache>
                <c:ptCount val="1"/>
                <c:pt idx="0">
                  <c:v>Total</c:v>
                </c:pt>
              </c:strCache>
            </c:strRef>
          </c:tx>
          <c:spPr>
            <a:solidFill>
              <a:srgbClr val="00B0F0"/>
            </a:solidFill>
            <a:ln>
              <a:noFill/>
            </a:ln>
            <a:effectLst/>
          </c:spPr>
          <c:invertIfNegative val="0"/>
          <c:dPt>
            <c:idx val="7"/>
            <c:invertIfNegative val="0"/>
            <c:bubble3D val="0"/>
            <c:extLst>
              <c:ext xmlns:c16="http://schemas.microsoft.com/office/drawing/2014/chart" uri="{C3380CC4-5D6E-409C-BE32-E72D297353CC}">
                <c16:uniqueId val="{00000000-097D-4F45-89E1-76C159FEB44F}"/>
              </c:ext>
            </c:extLst>
          </c:dPt>
          <c:dPt>
            <c:idx val="14"/>
            <c:invertIfNegative val="0"/>
            <c:bubble3D val="0"/>
            <c:spPr>
              <a:solidFill>
                <a:srgbClr val="00B0F0"/>
              </a:solidFill>
              <a:ln>
                <a:noFill/>
              </a:ln>
              <a:effectLst/>
            </c:spPr>
            <c:extLst>
              <c:ext xmlns:c16="http://schemas.microsoft.com/office/drawing/2014/chart" uri="{C3380CC4-5D6E-409C-BE32-E72D297353CC}">
                <c16:uniqueId val="{00000002-097D-4F45-89E1-76C159FEB44F}"/>
              </c:ext>
            </c:extLst>
          </c:dPt>
          <c:dLbls>
            <c:dLbl>
              <c:idx val="14"/>
              <c:layout>
                <c:manualLayout>
                  <c:x val="0"/>
                  <c:y val="-6.277463904582548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97D-4F45-89E1-76C159FEB44F}"/>
                </c:ext>
              </c:extLst>
            </c:dLbl>
            <c:numFmt formatCode="0.00;[Red]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slicers'!$G$4:$G$19</c:f>
              <c:strCache>
                <c:ptCount val="15"/>
                <c:pt idx="0">
                  <c:v>Supplies</c:v>
                </c:pt>
                <c:pt idx="1">
                  <c:v>Fasteners</c:v>
                </c:pt>
                <c:pt idx="2">
                  <c:v>Labels</c:v>
                </c:pt>
                <c:pt idx="3">
                  <c:v>Envelopes</c:v>
                </c:pt>
                <c:pt idx="4">
                  <c:v>Paper</c:v>
                </c:pt>
                <c:pt idx="5">
                  <c:v>Accessories</c:v>
                </c:pt>
                <c:pt idx="6">
                  <c:v>Binders</c:v>
                </c:pt>
                <c:pt idx="7">
                  <c:v>Appliances</c:v>
                </c:pt>
                <c:pt idx="8">
                  <c:v>Furnishings</c:v>
                </c:pt>
                <c:pt idx="9">
                  <c:v>Art</c:v>
                </c:pt>
                <c:pt idx="10">
                  <c:v>Storage</c:v>
                </c:pt>
                <c:pt idx="11">
                  <c:v>Chairs</c:v>
                </c:pt>
                <c:pt idx="12">
                  <c:v>Bookcases</c:v>
                </c:pt>
                <c:pt idx="13">
                  <c:v>Tables</c:v>
                </c:pt>
                <c:pt idx="14">
                  <c:v>Phones</c:v>
                </c:pt>
              </c:strCache>
            </c:strRef>
          </c:cat>
          <c:val>
            <c:numRef>
              <c:f>'pivot tables and slicers'!$H$4:$H$19</c:f>
              <c:numCache>
                <c:formatCode>General</c:formatCode>
                <c:ptCount val="15"/>
                <c:pt idx="0">
                  <c:v>65.88</c:v>
                </c:pt>
                <c:pt idx="1">
                  <c:v>80.831999999999994</c:v>
                </c:pt>
                <c:pt idx="2">
                  <c:v>95.960000000000008</c:v>
                </c:pt>
                <c:pt idx="3">
                  <c:v>578.6400000000001</c:v>
                </c:pt>
                <c:pt idx="4">
                  <c:v>743.08799999999997</c:v>
                </c:pt>
                <c:pt idx="5">
                  <c:v>994.46399999999994</c:v>
                </c:pt>
                <c:pt idx="6">
                  <c:v>1055.518</c:v>
                </c:pt>
                <c:pt idx="7">
                  <c:v>1369.52</c:v>
                </c:pt>
                <c:pt idx="8">
                  <c:v>1375.5459999999998</c:v>
                </c:pt>
                <c:pt idx="9">
                  <c:v>1386.672</c:v>
                </c:pt>
                <c:pt idx="10">
                  <c:v>2990.404</c:v>
                </c:pt>
                <c:pt idx="11">
                  <c:v>3453.7629999999999</c:v>
                </c:pt>
                <c:pt idx="12">
                  <c:v>3877.7891999999997</c:v>
                </c:pt>
                <c:pt idx="13">
                  <c:v>5113.6215000000002</c:v>
                </c:pt>
                <c:pt idx="14">
                  <c:v>5631.6600000000008</c:v>
                </c:pt>
              </c:numCache>
            </c:numRef>
          </c:val>
          <c:extLst>
            <c:ext xmlns:c16="http://schemas.microsoft.com/office/drawing/2014/chart" uri="{C3380CC4-5D6E-409C-BE32-E72D297353CC}">
              <c16:uniqueId val="{00000003-097D-4F45-89E1-76C159FEB44F}"/>
            </c:ext>
          </c:extLst>
        </c:ser>
        <c:dLbls>
          <c:dLblPos val="outEnd"/>
          <c:showLegendKey val="0"/>
          <c:showVal val="1"/>
          <c:showCatName val="0"/>
          <c:showSerName val="0"/>
          <c:showPercent val="0"/>
          <c:showBubbleSize val="0"/>
        </c:dLbls>
        <c:gapWidth val="190"/>
        <c:axId val="2068862496"/>
        <c:axId val="2068864896"/>
      </c:barChart>
      <c:catAx>
        <c:axId val="2068862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8864896"/>
        <c:crosses val="autoZero"/>
        <c:auto val="1"/>
        <c:lblAlgn val="ctr"/>
        <c:lblOffset val="100"/>
        <c:noMultiLvlLbl val="0"/>
      </c:catAx>
      <c:valAx>
        <c:axId val="2068864896"/>
        <c:scaling>
          <c:orientation val="minMax"/>
        </c:scaling>
        <c:delete val="1"/>
        <c:axPos val="b"/>
        <c:numFmt formatCode="General" sourceLinked="1"/>
        <c:majorTickMark val="none"/>
        <c:minorTickMark val="none"/>
        <c:tickLblPos val="nextTo"/>
        <c:crossAx val="2068862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190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tables and slicers!PivotTable4</c:name>
    <c:fmtId val="50"/>
  </c:pivotSource>
  <c:chart>
    <c:title>
      <c:tx>
        <c:rich>
          <a:bodyPr rot="0" spcFirstLastPara="1" vertOverflow="ellipsis" vert="horz" wrap="square" anchor="ctr" anchorCtr="1"/>
          <a:lstStyle/>
          <a:p>
            <a:pPr algn="ctr" rtl="0">
              <a:defRPr lang="en-US" sz="1600" b="1" i="0" u="none" strike="noStrike" kern="1200" spc="0" baseline="0">
                <a:solidFill>
                  <a:schemeClr val="bg1"/>
                </a:solidFill>
                <a:latin typeface="+mn-lt"/>
                <a:ea typeface="+mn-ea"/>
                <a:cs typeface="+mn-cs"/>
              </a:defRPr>
            </a:pPr>
            <a:r>
              <a:rPr lang="en-US" sz="1600" b="1" i="0" u="none" strike="noStrike" kern="1200" spc="0" baseline="0">
                <a:solidFill>
                  <a:schemeClr val="bg1"/>
                </a:solidFill>
                <a:latin typeface="+mn-lt"/>
                <a:ea typeface="+mn-ea"/>
                <a:cs typeface="+mn-cs"/>
              </a:rPr>
              <a:t>Sales by Region</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bg1"/>
              </a:solidFill>
              <a:latin typeface="+mn-lt"/>
              <a:ea typeface="+mn-ea"/>
              <a:cs typeface="+mn-cs"/>
            </a:defRPr>
          </a:pPr>
          <a:endParaRPr lang="en-US"/>
        </a:p>
      </c:txPr>
    </c:title>
    <c:autoTitleDeleted val="0"/>
    <c:pivotFmts>
      <c:pivotFmt>
        <c:idx val="0"/>
        <c:spPr>
          <a:solidFill>
            <a:srgbClr val="008080"/>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8080"/>
          </a:solidFill>
          <a:ln w="19050">
            <a:solidFill>
              <a:schemeClr val="lt1"/>
            </a:solidFill>
          </a:ln>
          <a:effectLst/>
        </c:spPr>
        <c:dLbl>
          <c:idx val="0"/>
          <c:layout>
            <c:manualLayout>
              <c:x val="-2.4561403508771899E-2"/>
              <c:y val="-3.18674314850223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339966"/>
          </a:solidFill>
          <a:ln w="19050">
            <a:solidFill>
              <a:schemeClr val="lt1"/>
            </a:solidFill>
          </a:ln>
          <a:effectLst/>
        </c:spPr>
        <c:dLbl>
          <c:idx val="0"/>
          <c:layout>
            <c:manualLayout>
              <c:x val="3.8596491228070046E-2"/>
              <c:y val="5.09878903760356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339933"/>
          </a:solidFill>
          <a:ln w="19050">
            <a:solidFill>
              <a:schemeClr val="lt1"/>
            </a:solidFill>
          </a:ln>
          <a:effectLst/>
        </c:spPr>
        <c:dLbl>
          <c:idx val="0"/>
          <c:layout>
            <c:manualLayout>
              <c:x val="8.4210526315789472E-2"/>
              <c:y val="-4.46144040790311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006600"/>
          </a:solidFill>
          <a:ln w="19050">
            <a:solidFill>
              <a:schemeClr val="lt1"/>
            </a:solidFill>
          </a:ln>
          <a:effectLst/>
        </c:spPr>
        <c:dLbl>
          <c:idx val="0"/>
          <c:layout>
            <c:manualLayout>
              <c:x val="-7.7192982456140383E-2"/>
              <c:y val="-5.0987890376035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008080"/>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339966"/>
          </a:solidFill>
          <a:ln w="19050">
            <a:solidFill>
              <a:schemeClr val="lt1"/>
            </a:solidFill>
          </a:ln>
          <a:effectLst/>
        </c:spPr>
        <c:dLbl>
          <c:idx val="0"/>
          <c:layout>
            <c:manualLayout>
              <c:x val="3.8596491228070046E-2"/>
              <c:y val="5.09878903760356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339933"/>
          </a:solidFill>
          <a:ln w="19050">
            <a:solidFill>
              <a:schemeClr val="lt1"/>
            </a:solidFill>
          </a:ln>
          <a:effectLst/>
        </c:spPr>
        <c:dLbl>
          <c:idx val="0"/>
          <c:layout>
            <c:manualLayout>
              <c:x val="8.4210526315789472E-2"/>
              <c:y val="-4.46144040790311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006600"/>
          </a:solidFill>
          <a:ln w="19050">
            <a:solidFill>
              <a:schemeClr val="lt1"/>
            </a:solidFill>
          </a:ln>
          <a:effectLst/>
        </c:spPr>
        <c:dLbl>
          <c:idx val="0"/>
          <c:layout>
            <c:manualLayout>
              <c:x val="-7.7192982456140383E-2"/>
              <c:y val="-5.0987890376035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008080"/>
          </a:solidFill>
          <a:ln w="19050">
            <a:solidFill>
              <a:schemeClr val="lt1"/>
            </a:solidFill>
          </a:ln>
          <a:effectLst/>
        </c:spPr>
        <c:dLbl>
          <c:idx val="0"/>
          <c:layout>
            <c:manualLayout>
              <c:x val="-2.4561403508771899E-2"/>
              <c:y val="-3.18674314850223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66CCFF"/>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lumMod val="20000"/>
              <a:lumOff val="80000"/>
            </a:schemeClr>
          </a:solidFill>
          <a:ln w="19050">
            <a:solidFill>
              <a:schemeClr val="lt1"/>
            </a:solidFill>
          </a:ln>
          <a:effectLst/>
        </c:spPr>
        <c:dLbl>
          <c:idx val="0"/>
          <c:layout>
            <c:manualLayout>
              <c:x val="3.8596491228070046E-2"/>
              <c:y val="5.09878903760356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lumMod val="40000"/>
              <a:lumOff val="60000"/>
            </a:schemeClr>
          </a:solidFill>
          <a:ln w="19050">
            <a:solidFill>
              <a:schemeClr val="lt1"/>
            </a:solidFill>
          </a:ln>
          <a:effectLst/>
        </c:spPr>
        <c:dLbl>
          <c:idx val="0"/>
          <c:layout>
            <c:manualLayout>
              <c:x val="8.4210526315789472E-2"/>
              <c:y val="-4.46144040790311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lumMod val="60000"/>
              <a:lumOff val="40000"/>
            </a:schemeClr>
          </a:solidFill>
          <a:ln w="19050">
            <a:solidFill>
              <a:schemeClr val="lt1"/>
            </a:solidFill>
          </a:ln>
          <a:effectLst/>
        </c:spPr>
        <c:dLbl>
          <c:idx val="0"/>
          <c:layout>
            <c:manualLayout>
              <c:x val="-7.7192982456140383E-2"/>
              <c:y val="-5.0987890376035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5">
              <a:lumMod val="75000"/>
            </a:schemeClr>
          </a:solidFill>
          <a:ln w="19050">
            <a:solidFill>
              <a:schemeClr val="lt1"/>
            </a:solidFill>
          </a:ln>
          <a:effectLst/>
        </c:spPr>
        <c:dLbl>
          <c:idx val="0"/>
          <c:layout>
            <c:manualLayout>
              <c:x val="-2.4561403508771899E-2"/>
              <c:y val="-3.18674314850223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rgbClr val="66CCFF"/>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lumMod val="20000"/>
              <a:lumOff val="80000"/>
            </a:schemeClr>
          </a:solidFill>
          <a:ln w="19050">
            <a:solidFill>
              <a:schemeClr val="lt1"/>
            </a:solidFill>
          </a:ln>
          <a:effectLst/>
        </c:spPr>
        <c:dLbl>
          <c:idx val="0"/>
          <c:layout>
            <c:manualLayout>
              <c:x val="3.8596491228070046E-2"/>
              <c:y val="5.09878903760356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lumMod val="40000"/>
              <a:lumOff val="60000"/>
            </a:schemeClr>
          </a:solidFill>
          <a:ln w="19050">
            <a:solidFill>
              <a:schemeClr val="lt1"/>
            </a:solidFill>
          </a:ln>
          <a:effectLst/>
        </c:spPr>
        <c:dLbl>
          <c:idx val="0"/>
          <c:layout>
            <c:manualLayout>
              <c:x val="8.4210526315789472E-2"/>
              <c:y val="-4.46144040790311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lumMod val="60000"/>
              <a:lumOff val="40000"/>
            </a:schemeClr>
          </a:solidFill>
          <a:ln w="19050">
            <a:solidFill>
              <a:schemeClr val="lt1"/>
            </a:solidFill>
          </a:ln>
          <a:effectLst/>
        </c:spPr>
        <c:dLbl>
          <c:idx val="0"/>
          <c:layout>
            <c:manualLayout>
              <c:x val="-7.7192982456140383E-2"/>
              <c:y val="-5.0987890376035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5">
              <a:lumMod val="75000"/>
            </a:schemeClr>
          </a:solidFill>
          <a:ln w="19050">
            <a:solidFill>
              <a:schemeClr val="lt1"/>
            </a:solidFill>
          </a:ln>
          <a:effectLst/>
        </c:spPr>
        <c:dLbl>
          <c:idx val="0"/>
          <c:layout>
            <c:manualLayout>
              <c:x val="-2.4561403508771899E-2"/>
              <c:y val="-3.18674314850223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rgbClr val="66CCFF"/>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lumMod val="20000"/>
              <a:lumOff val="80000"/>
            </a:schemeClr>
          </a:solidFill>
          <a:ln w="19050">
            <a:solidFill>
              <a:schemeClr val="lt1"/>
            </a:solidFill>
          </a:ln>
          <a:effectLst/>
        </c:spPr>
        <c:dLbl>
          <c:idx val="0"/>
          <c:layout>
            <c:manualLayout>
              <c:x val="3.8596491228070046E-2"/>
              <c:y val="5.09878903760356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lumMod val="40000"/>
              <a:lumOff val="60000"/>
            </a:schemeClr>
          </a:solidFill>
          <a:ln w="19050">
            <a:solidFill>
              <a:schemeClr val="lt1"/>
            </a:solidFill>
          </a:ln>
          <a:effectLst/>
        </c:spPr>
        <c:dLbl>
          <c:idx val="0"/>
          <c:layout>
            <c:manualLayout>
              <c:x val="8.4210526315789472E-2"/>
              <c:y val="-4.46144040790311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lumMod val="60000"/>
              <a:lumOff val="40000"/>
            </a:schemeClr>
          </a:solidFill>
          <a:ln w="19050">
            <a:solidFill>
              <a:schemeClr val="lt1"/>
            </a:solidFill>
          </a:ln>
          <a:effectLst/>
        </c:spPr>
        <c:dLbl>
          <c:idx val="0"/>
          <c:layout>
            <c:manualLayout>
              <c:x val="-7.7192982456140383E-2"/>
              <c:y val="-5.0987890376035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5">
              <a:lumMod val="75000"/>
            </a:schemeClr>
          </a:solidFill>
          <a:ln w="19050">
            <a:solidFill>
              <a:schemeClr val="lt1"/>
            </a:solidFill>
          </a:ln>
          <a:effectLst/>
        </c:spPr>
        <c:dLbl>
          <c:idx val="0"/>
          <c:layout>
            <c:manualLayout>
              <c:x val="-2.4561403508771899E-2"/>
              <c:y val="-3.18674314850223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 tables and slicers'!$K$3</c:f>
              <c:strCache>
                <c:ptCount val="1"/>
                <c:pt idx="0">
                  <c:v>Total</c:v>
                </c:pt>
              </c:strCache>
            </c:strRef>
          </c:tx>
          <c:spPr>
            <a:solidFill>
              <a:srgbClr val="66CCFF"/>
            </a:solidFill>
          </c:spPr>
          <c:dPt>
            <c:idx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1-9AC3-4953-A11D-9ECBBB9B25DC}"/>
              </c:ext>
            </c:extLst>
          </c:dPt>
          <c:dPt>
            <c:idx val="1"/>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3-9AC3-4953-A11D-9ECBBB9B25DC}"/>
              </c:ext>
            </c:extLst>
          </c:dPt>
          <c:dPt>
            <c:idx val="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9AC3-4953-A11D-9ECBBB9B25DC}"/>
              </c:ext>
            </c:extLst>
          </c:dPt>
          <c:dPt>
            <c:idx val="3"/>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7-9AC3-4953-A11D-9ECBBB9B25DC}"/>
              </c:ext>
            </c:extLst>
          </c:dPt>
          <c:dLbls>
            <c:dLbl>
              <c:idx val="0"/>
              <c:layout>
                <c:manualLayout>
                  <c:x val="3.8596491228070046E-2"/>
                  <c:y val="5.09878903760356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9AC3-4953-A11D-9ECBBB9B25DC}"/>
                </c:ext>
              </c:extLst>
            </c:dLbl>
            <c:dLbl>
              <c:idx val="1"/>
              <c:layout>
                <c:manualLayout>
                  <c:x val="8.4210526315789472E-2"/>
                  <c:y val="-4.46144040790311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9AC3-4953-A11D-9ECBBB9B25DC}"/>
                </c:ext>
              </c:extLst>
            </c:dLbl>
            <c:dLbl>
              <c:idx val="2"/>
              <c:layout>
                <c:manualLayout>
                  <c:x val="-7.7192982456140383E-2"/>
                  <c:y val="-5.0987890376035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9AC3-4953-A11D-9ECBBB9B25DC}"/>
                </c:ext>
              </c:extLst>
            </c:dLbl>
            <c:dLbl>
              <c:idx val="3"/>
              <c:layout>
                <c:manualLayout>
                  <c:x val="-2.4561403508771899E-2"/>
                  <c:y val="-3.18674314850223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9AC3-4953-A11D-9ECBBB9B25D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 and slicers'!$J$4:$J$8</c:f>
              <c:strCache>
                <c:ptCount val="4"/>
                <c:pt idx="0">
                  <c:v>Central</c:v>
                </c:pt>
                <c:pt idx="1">
                  <c:v>East</c:v>
                </c:pt>
                <c:pt idx="2">
                  <c:v>South</c:v>
                </c:pt>
                <c:pt idx="3">
                  <c:v>West</c:v>
                </c:pt>
              </c:strCache>
            </c:strRef>
          </c:cat>
          <c:val>
            <c:numRef>
              <c:f>'pivot tables and slicers'!$K$4:$K$8</c:f>
              <c:numCache>
                <c:formatCode>General</c:formatCode>
                <c:ptCount val="4"/>
                <c:pt idx="0">
                  <c:v>8099.3121999999985</c:v>
                </c:pt>
                <c:pt idx="1">
                  <c:v>6334.1860000000015</c:v>
                </c:pt>
                <c:pt idx="2">
                  <c:v>4153.6995000000006</c:v>
                </c:pt>
                <c:pt idx="3">
                  <c:v>10226.160000000002</c:v>
                </c:pt>
              </c:numCache>
            </c:numRef>
          </c:val>
          <c:extLst>
            <c:ext xmlns:c16="http://schemas.microsoft.com/office/drawing/2014/chart" uri="{C3380CC4-5D6E-409C-BE32-E72D297353CC}">
              <c16:uniqueId val="{00000008-9AC3-4953-A11D-9ECBBB9B25DC}"/>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190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tables and slicers!PivotTable5</c:name>
    <c:fmtId val="51"/>
  </c:pivotSource>
  <c:chart>
    <c:title>
      <c:tx>
        <c:rich>
          <a:bodyPr rot="0" spcFirstLastPara="1" vertOverflow="ellipsis" vert="horz" wrap="square" anchor="ctr" anchorCtr="1"/>
          <a:lstStyle/>
          <a:p>
            <a:pPr algn="ctr" rtl="0">
              <a:defRPr lang="en-US" sz="1600" b="1" i="0" u="none" strike="noStrike" kern="1200" spc="0" baseline="0">
                <a:solidFill>
                  <a:schemeClr val="bg1"/>
                </a:solidFill>
                <a:latin typeface="+mn-lt"/>
                <a:ea typeface="+mn-ea"/>
                <a:cs typeface="+mn-cs"/>
              </a:defRPr>
            </a:pPr>
            <a:r>
              <a:rPr lang="en-US" sz="1600" b="1" i="0" u="none" strike="noStrike" kern="1200" spc="0" baseline="0">
                <a:solidFill>
                  <a:schemeClr val="bg1"/>
                </a:solidFill>
                <a:latin typeface="+mn-lt"/>
                <a:ea typeface="+mn-ea"/>
                <a:cs typeface="+mn-cs"/>
              </a:rPr>
              <a:t>Top 10 products</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bg1"/>
              </a:solidFill>
              <a:latin typeface="+mn-lt"/>
              <a:ea typeface="+mn-ea"/>
              <a:cs typeface="+mn-cs"/>
            </a:defRPr>
          </a:pPr>
          <a:endParaRPr lang="en-US"/>
        </a:p>
      </c:txPr>
    </c:title>
    <c:autoTitleDeleted val="0"/>
    <c:pivotFmts>
      <c:pivotFmt>
        <c:idx val="0"/>
        <c:spPr>
          <a:solidFill>
            <a:srgbClr val="008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8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CCFF"/>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6CCFF"/>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6CCFF"/>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and slicers'!$N$3</c:f>
              <c:strCache>
                <c:ptCount val="1"/>
                <c:pt idx="0">
                  <c:v>Total</c:v>
                </c:pt>
              </c:strCache>
            </c:strRef>
          </c:tx>
          <c:spPr>
            <a:solidFill>
              <a:srgbClr val="66CCFF"/>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slicers'!$M$4:$M$14</c:f>
              <c:strCache>
                <c:ptCount val="10"/>
                <c:pt idx="0">
                  <c:v>AT&amp;T CL83451 4-Handset Telephone</c:v>
                </c:pt>
                <c:pt idx="1">
                  <c:v>Bretford CR4500 Series Slim Rectangular Table</c:v>
                </c:pt>
                <c:pt idx="2">
                  <c:v>Chromcraft Rectangular Conference Tables</c:v>
                </c:pt>
                <c:pt idx="3">
                  <c:v>GE 30524EE4</c:v>
                </c:pt>
                <c:pt idx="4">
                  <c:v>Hunt BOSTON Model 1606 High-Volume Electric Pencil Sharpener, Beige</c:v>
                </c:pt>
                <c:pt idx="5">
                  <c:v>Konftel 250 ConferenceÂ phoneÂ - Charcoal black</c:v>
                </c:pt>
                <c:pt idx="6">
                  <c:v>Mitel 5320 IP Phone VoIP phone</c:v>
                </c:pt>
                <c:pt idx="7">
                  <c:v>Riverside Palais Royal Lawyers Bookcase, Royale Cherry Finish</c:v>
                </c:pt>
                <c:pt idx="8">
                  <c:v>Safco Industrial Wire Shelving</c:v>
                </c:pt>
                <c:pt idx="9">
                  <c:v>Sanyo 2.5 Cubic Foot Mid-Size Office Refrigerators</c:v>
                </c:pt>
              </c:strCache>
            </c:strRef>
          </c:cat>
          <c:val>
            <c:numRef>
              <c:f>'pivot tables and slicers'!$N$4:$N$14</c:f>
              <c:numCache>
                <c:formatCode>General</c:formatCode>
                <c:ptCount val="10"/>
                <c:pt idx="0">
                  <c:v>1029.95</c:v>
                </c:pt>
                <c:pt idx="1">
                  <c:v>2002.2075</c:v>
                </c:pt>
                <c:pt idx="2">
                  <c:v>1706.184</c:v>
                </c:pt>
                <c:pt idx="3">
                  <c:v>1097.5440000000001</c:v>
                </c:pt>
                <c:pt idx="4">
                  <c:v>1113.0239999999999</c:v>
                </c:pt>
                <c:pt idx="5">
                  <c:v>911.42399999999998</c:v>
                </c:pt>
                <c:pt idx="6">
                  <c:v>907.15200000000004</c:v>
                </c:pt>
                <c:pt idx="7">
                  <c:v>3083.43</c:v>
                </c:pt>
                <c:pt idx="8">
                  <c:v>902.30599999999993</c:v>
                </c:pt>
                <c:pt idx="9">
                  <c:v>839.43</c:v>
                </c:pt>
              </c:numCache>
            </c:numRef>
          </c:val>
          <c:extLst>
            <c:ext xmlns:c16="http://schemas.microsoft.com/office/drawing/2014/chart" uri="{C3380CC4-5D6E-409C-BE32-E72D297353CC}">
              <c16:uniqueId val="{00000000-40B0-4F94-91CF-C2C43C6E0FB6}"/>
            </c:ext>
          </c:extLst>
        </c:ser>
        <c:dLbls>
          <c:dLblPos val="outEnd"/>
          <c:showLegendKey val="0"/>
          <c:showVal val="1"/>
          <c:showCatName val="0"/>
          <c:showSerName val="0"/>
          <c:showPercent val="0"/>
          <c:showBubbleSize val="0"/>
        </c:dLbls>
        <c:gapWidth val="182"/>
        <c:axId val="1854596256"/>
        <c:axId val="1854598176"/>
      </c:barChart>
      <c:catAx>
        <c:axId val="1854596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54598176"/>
        <c:crosses val="autoZero"/>
        <c:auto val="1"/>
        <c:lblAlgn val="ctr"/>
        <c:lblOffset val="100"/>
        <c:noMultiLvlLbl val="0"/>
      </c:catAx>
      <c:valAx>
        <c:axId val="1854598176"/>
        <c:scaling>
          <c:orientation val="minMax"/>
        </c:scaling>
        <c:delete val="1"/>
        <c:axPos val="b"/>
        <c:numFmt formatCode="General" sourceLinked="1"/>
        <c:majorTickMark val="none"/>
        <c:minorTickMark val="none"/>
        <c:tickLblPos val="nextTo"/>
        <c:crossAx val="1854596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190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21</xdr:row>
      <xdr:rowOff>0</xdr:rowOff>
    </xdr:from>
    <xdr:to>
      <xdr:col>2</xdr:col>
      <xdr:colOff>157908</xdr:colOff>
      <xdr:row>31</xdr:row>
      <xdr:rowOff>91716</xdr:rowOff>
    </xdr:to>
    <mc:AlternateContent xmlns:mc="http://schemas.openxmlformats.org/markup-compatibility/2006">
      <mc:Choice xmlns:a14="http://schemas.microsoft.com/office/drawing/2010/main" Requires="a14">
        <xdr:graphicFrame macro="">
          <xdr:nvGraphicFramePr>
            <xdr:cNvPr id="2" name="Years (Order Date) 5">
              <a:extLst>
                <a:ext uri="{FF2B5EF4-FFF2-40B4-BE49-F238E27FC236}">
                  <a16:creationId xmlns:a16="http://schemas.microsoft.com/office/drawing/2014/main" id="{F525E76D-60C6-4F4E-9DB5-2D350E0DB341}"/>
                </a:ext>
              </a:extLst>
            </xdr:cNvPr>
            <xdr:cNvGraphicFramePr/>
          </xdr:nvGraphicFramePr>
          <xdr:xfrm>
            <a:off x="0" y="0"/>
            <a:ext cx="0" cy="0"/>
          </xdr:xfrm>
          <a:graphic>
            <a:graphicData uri="http://schemas.microsoft.com/office/drawing/2010/slicer">
              <sle:slicer xmlns:sle="http://schemas.microsoft.com/office/drawing/2010/slicer" name="Years (Order Date) 5"/>
            </a:graphicData>
          </a:graphic>
        </xdr:graphicFrame>
      </mc:Choice>
      <mc:Fallback>
        <xdr:sp macro="" textlink="">
          <xdr:nvSpPr>
            <xdr:cNvPr id="0" name=""/>
            <xdr:cNvSpPr>
              <a:spLocks noTextEdit="1"/>
            </xdr:cNvSpPr>
          </xdr:nvSpPr>
          <xdr:spPr>
            <a:xfrm>
              <a:off x="0" y="3855904"/>
              <a:ext cx="1828800" cy="1927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21</xdr:row>
      <xdr:rowOff>0</xdr:rowOff>
    </xdr:from>
    <xdr:to>
      <xdr:col>5</xdr:col>
      <xdr:colOff>130366</xdr:colOff>
      <xdr:row>28</xdr:row>
      <xdr:rowOff>147259</xdr:rowOff>
    </xdr:to>
    <mc:AlternateContent xmlns:mc="http://schemas.openxmlformats.org/markup-compatibility/2006">
      <mc:Choice xmlns:a14="http://schemas.microsoft.com/office/drawing/2010/main" Requires="a14">
        <xdr:graphicFrame macro="">
          <xdr:nvGraphicFramePr>
            <xdr:cNvPr id="3" name="Region 5">
              <a:extLst>
                <a:ext uri="{FF2B5EF4-FFF2-40B4-BE49-F238E27FC236}">
                  <a16:creationId xmlns:a16="http://schemas.microsoft.com/office/drawing/2014/main" id="{939EE16B-91A1-4D89-8B6E-918660DC5CF9}"/>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dr:sp macro="" textlink="">
          <xdr:nvSpPr>
            <xdr:cNvPr id="0" name=""/>
            <xdr:cNvSpPr>
              <a:spLocks noTextEdit="1"/>
            </xdr:cNvSpPr>
          </xdr:nvSpPr>
          <xdr:spPr>
            <a:xfrm>
              <a:off x="2148289" y="3855904"/>
              <a:ext cx="1828800" cy="143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21</xdr:row>
      <xdr:rowOff>0</xdr:rowOff>
    </xdr:from>
    <xdr:to>
      <xdr:col>8</xdr:col>
      <xdr:colOff>167089</xdr:colOff>
      <xdr:row>27</xdr:row>
      <xdr:rowOff>64174</xdr:rowOff>
    </xdr:to>
    <mc:AlternateContent xmlns:mc="http://schemas.openxmlformats.org/markup-compatibility/2006">
      <mc:Choice xmlns:a14="http://schemas.microsoft.com/office/drawing/2010/main" Requires="a14">
        <xdr:graphicFrame macro="">
          <xdr:nvGraphicFramePr>
            <xdr:cNvPr id="10" name="Ship Mode 1">
              <a:extLst>
                <a:ext uri="{FF2B5EF4-FFF2-40B4-BE49-F238E27FC236}">
                  <a16:creationId xmlns:a16="http://schemas.microsoft.com/office/drawing/2014/main" id="{3A9F2D36-6266-4BFF-AC40-D132026C5364}"/>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dr:sp macro="" textlink="">
          <xdr:nvSpPr>
            <xdr:cNvPr id="0" name=""/>
            <xdr:cNvSpPr>
              <a:spLocks noTextEdit="1"/>
            </xdr:cNvSpPr>
          </xdr:nvSpPr>
          <xdr:spPr>
            <a:xfrm>
              <a:off x="4645446" y="3855904"/>
              <a:ext cx="182880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21</xdr:row>
      <xdr:rowOff>0</xdr:rowOff>
    </xdr:from>
    <xdr:to>
      <xdr:col>11</xdr:col>
      <xdr:colOff>167090</xdr:colOff>
      <xdr:row>27</xdr:row>
      <xdr:rowOff>56554</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D7C88D86-79EF-44BC-86DD-75A1F1B148A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105880" y="3855904"/>
              <a:ext cx="182880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21</xdr:row>
      <xdr:rowOff>0</xdr:rowOff>
    </xdr:from>
    <xdr:to>
      <xdr:col>12</xdr:col>
      <xdr:colOff>1828800</xdr:colOff>
      <xdr:row>27</xdr:row>
      <xdr:rowOff>48934</xdr:rowOff>
    </xdr:to>
    <mc:AlternateContent xmlns:mc="http://schemas.openxmlformats.org/markup-compatibility/2006">
      <mc:Choice xmlns:a14="http://schemas.microsoft.com/office/drawing/2010/main" Requires="a14">
        <xdr:graphicFrame macro="">
          <xdr:nvGraphicFramePr>
            <xdr:cNvPr id="12" name="Segment">
              <a:extLst>
                <a:ext uri="{FF2B5EF4-FFF2-40B4-BE49-F238E27FC236}">
                  <a16:creationId xmlns:a16="http://schemas.microsoft.com/office/drawing/2014/main" id="{758BE599-B0F4-4822-B92B-83E5D9518FC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9566313" y="3855904"/>
              <a:ext cx="1828800" cy="11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134937</xdr:colOff>
      <xdr:row>51</xdr:row>
      <xdr:rowOff>40531</xdr:rowOff>
    </xdr:to>
    <xdr:sp macro="" textlink="">
      <xdr:nvSpPr>
        <xdr:cNvPr id="2" name="Rectangle 1">
          <a:extLst>
            <a:ext uri="{FF2B5EF4-FFF2-40B4-BE49-F238E27FC236}">
              <a16:creationId xmlns:a16="http://schemas.microsoft.com/office/drawing/2014/main" id="{5BDC0721-8735-4943-9B92-71FB3DA56CD2}"/>
            </a:ext>
          </a:extLst>
        </xdr:cNvPr>
        <xdr:cNvSpPr/>
      </xdr:nvSpPr>
      <xdr:spPr>
        <a:xfrm>
          <a:off x="0" y="0"/>
          <a:ext cx="15334405" cy="9549318"/>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68580</xdr:colOff>
      <xdr:row>0</xdr:row>
      <xdr:rowOff>76200</xdr:rowOff>
    </xdr:from>
    <xdr:to>
      <xdr:col>23</xdr:col>
      <xdr:colOff>76200</xdr:colOff>
      <xdr:row>4</xdr:row>
      <xdr:rowOff>129540</xdr:rowOff>
    </xdr:to>
    <xdr:sp macro="" textlink="">
      <xdr:nvSpPr>
        <xdr:cNvPr id="3" name="Rectangle: Rounded Corners 2">
          <a:extLst>
            <a:ext uri="{FF2B5EF4-FFF2-40B4-BE49-F238E27FC236}">
              <a16:creationId xmlns:a16="http://schemas.microsoft.com/office/drawing/2014/main" id="{C2754DBE-6D36-413F-B671-EE9AB23B6E5A}"/>
            </a:ext>
          </a:extLst>
        </xdr:cNvPr>
        <xdr:cNvSpPr/>
      </xdr:nvSpPr>
      <xdr:spPr>
        <a:xfrm>
          <a:off x="68580" y="76200"/>
          <a:ext cx="14028420" cy="78486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IN" sz="4400" b="1" i="0">
              <a:solidFill>
                <a:schemeClr val="bg1"/>
              </a:solidFill>
              <a:latin typeface="Bookman Old Style" panose="02050604050505020204" pitchFamily="18" charset="0"/>
              <a:cs typeface="Arial" panose="020B0604020202020204" pitchFamily="34" charset="0"/>
            </a:rPr>
            <a:t>Sales Performance</a:t>
          </a:r>
          <a:r>
            <a:rPr lang="en-IN" sz="4400" b="1" i="0" baseline="0">
              <a:solidFill>
                <a:schemeClr val="bg1"/>
              </a:solidFill>
              <a:latin typeface="Bookman Old Style" panose="02050604050505020204" pitchFamily="18" charset="0"/>
              <a:cs typeface="Arial" panose="020B0604020202020204" pitchFamily="34" charset="0"/>
            </a:rPr>
            <a:t> Dashboard</a:t>
          </a:r>
          <a:endParaRPr lang="en-IN" sz="4400" b="1" i="0">
            <a:solidFill>
              <a:schemeClr val="bg1"/>
            </a:solidFill>
            <a:latin typeface="Bookman Old Style" panose="02050604050505020204" pitchFamily="18" charset="0"/>
            <a:cs typeface="Arial" panose="020B0604020202020204" pitchFamily="34" charset="0"/>
          </a:endParaRPr>
        </a:p>
      </xdr:txBody>
    </xdr:sp>
    <xdr:clientData/>
  </xdr:twoCellAnchor>
  <xdr:twoCellAnchor>
    <xdr:from>
      <xdr:col>0</xdr:col>
      <xdr:colOff>76200</xdr:colOff>
      <xdr:row>5</xdr:row>
      <xdr:rowOff>45720</xdr:rowOff>
    </xdr:from>
    <xdr:to>
      <xdr:col>5</xdr:col>
      <xdr:colOff>160200</xdr:colOff>
      <xdr:row>9</xdr:row>
      <xdr:rowOff>106200</xdr:rowOff>
    </xdr:to>
    <xdr:grpSp>
      <xdr:nvGrpSpPr>
        <xdr:cNvPr id="4" name="Group 3">
          <a:extLst>
            <a:ext uri="{FF2B5EF4-FFF2-40B4-BE49-F238E27FC236}">
              <a16:creationId xmlns:a16="http://schemas.microsoft.com/office/drawing/2014/main" id="{CAFA2034-BDD5-4CEF-BDF4-942B0E642C02}"/>
            </a:ext>
          </a:extLst>
        </xdr:cNvPr>
        <xdr:cNvGrpSpPr/>
      </xdr:nvGrpSpPr>
      <xdr:grpSpPr>
        <a:xfrm>
          <a:off x="76200" y="984416"/>
          <a:ext cx="3120957" cy="811436"/>
          <a:chOff x="76200" y="960120"/>
          <a:chExt cx="2712720" cy="769620"/>
        </a:xfrm>
        <a:solidFill>
          <a:schemeClr val="accent1">
            <a:lumMod val="50000"/>
          </a:schemeClr>
        </a:solidFill>
      </xdr:grpSpPr>
      <xdr:sp macro="" textlink="">
        <xdr:nvSpPr>
          <xdr:cNvPr id="5" name="Rectangle: Rounded Corners 4">
            <a:extLst>
              <a:ext uri="{FF2B5EF4-FFF2-40B4-BE49-F238E27FC236}">
                <a16:creationId xmlns:a16="http://schemas.microsoft.com/office/drawing/2014/main" id="{12F72608-3747-600F-E2C8-B75D7EB9F337}"/>
              </a:ext>
            </a:extLst>
          </xdr:cNvPr>
          <xdr:cNvSpPr/>
        </xdr:nvSpPr>
        <xdr:spPr>
          <a:xfrm>
            <a:off x="76200" y="960120"/>
            <a:ext cx="2712720" cy="76962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IN" sz="4400">
              <a:solidFill>
                <a:schemeClr val="bg1"/>
              </a:solidFill>
              <a:latin typeface="Algerian" panose="04020705040A02060702" pitchFamily="82" charset="0"/>
            </a:endParaRPr>
          </a:p>
        </xdr:txBody>
      </xdr:sp>
      <xdr:sp macro="" textlink="">
        <xdr:nvSpPr>
          <xdr:cNvPr id="6" name="Rectangle: Rounded Corners 5">
            <a:extLst>
              <a:ext uri="{FF2B5EF4-FFF2-40B4-BE49-F238E27FC236}">
                <a16:creationId xmlns:a16="http://schemas.microsoft.com/office/drawing/2014/main" id="{ED80E021-E58D-98BF-FFD4-CD1E5D9CE367}"/>
              </a:ext>
            </a:extLst>
          </xdr:cNvPr>
          <xdr:cNvSpPr/>
        </xdr:nvSpPr>
        <xdr:spPr>
          <a:xfrm>
            <a:off x="94498" y="990600"/>
            <a:ext cx="364497" cy="7200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TextBox 6">
            <a:extLst>
              <a:ext uri="{FF2B5EF4-FFF2-40B4-BE49-F238E27FC236}">
                <a16:creationId xmlns:a16="http://schemas.microsoft.com/office/drawing/2014/main" id="{74195318-B843-A68D-6099-665F253B1874}"/>
              </a:ext>
            </a:extLst>
          </xdr:cNvPr>
          <xdr:cNvSpPr txBox="1"/>
        </xdr:nvSpPr>
        <xdr:spPr>
          <a:xfrm>
            <a:off x="524994" y="1043939"/>
            <a:ext cx="2164866" cy="24487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latin typeface="Bookman Old Style" panose="02050604050505020204" pitchFamily="18" charset="0"/>
              </a:rPr>
              <a:t>Total</a:t>
            </a:r>
            <a:r>
              <a:rPr lang="en-IN" sz="2000" b="1" baseline="0">
                <a:solidFill>
                  <a:schemeClr val="bg1"/>
                </a:solidFill>
                <a:latin typeface="Bookman Old Style" panose="02050604050505020204" pitchFamily="18" charset="0"/>
              </a:rPr>
              <a:t> Sales</a:t>
            </a:r>
            <a:endParaRPr lang="en-IN" sz="2000" b="1">
              <a:solidFill>
                <a:schemeClr val="bg1"/>
              </a:solidFill>
              <a:latin typeface="Bookman Old Style" panose="02050604050505020204" pitchFamily="18" charset="0"/>
            </a:endParaRPr>
          </a:p>
        </xdr:txBody>
      </xdr:sp>
      <xdr:sp macro="" textlink="dataset!W4">
        <xdr:nvSpPr>
          <xdr:cNvPr id="8" name="TextBox 7">
            <a:extLst>
              <a:ext uri="{FF2B5EF4-FFF2-40B4-BE49-F238E27FC236}">
                <a16:creationId xmlns:a16="http://schemas.microsoft.com/office/drawing/2014/main" id="{AF705CA7-D87D-F713-565E-EB9A0D76D18A}"/>
              </a:ext>
            </a:extLst>
          </xdr:cNvPr>
          <xdr:cNvSpPr txBox="1"/>
        </xdr:nvSpPr>
        <xdr:spPr>
          <a:xfrm>
            <a:off x="538195" y="1371600"/>
            <a:ext cx="2144045" cy="2667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4D9728E-289F-42E4-898E-310EDC395684}" type="TxLink">
              <a:rPr lang="en-US" sz="2400" b="1">
                <a:solidFill>
                  <a:schemeClr val="bg1"/>
                </a:solidFill>
                <a:latin typeface="Bookman Old Style" panose="02050604050505020204" pitchFamily="18" charset="0"/>
                <a:ea typeface="+mn-ea"/>
                <a:cs typeface="+mn-cs"/>
              </a:rPr>
              <a:pPr marL="0" indent="0" algn="ctr"/>
              <a:t>₹ 28.81k</a:t>
            </a:fld>
            <a:endParaRPr lang="en-IN" sz="2400" b="1">
              <a:solidFill>
                <a:schemeClr val="bg1"/>
              </a:solidFill>
              <a:latin typeface="Bookman Old Style" panose="02050604050505020204" pitchFamily="18" charset="0"/>
              <a:ea typeface="+mn-ea"/>
              <a:cs typeface="+mn-cs"/>
            </a:endParaRPr>
          </a:p>
        </xdr:txBody>
      </xdr:sp>
    </xdr:grpSp>
    <xdr:clientData/>
  </xdr:twoCellAnchor>
  <xdr:twoCellAnchor>
    <xdr:from>
      <xdr:col>0</xdr:col>
      <xdr:colOff>76200</xdr:colOff>
      <xdr:row>9</xdr:row>
      <xdr:rowOff>170180</xdr:rowOff>
    </xdr:from>
    <xdr:to>
      <xdr:col>5</xdr:col>
      <xdr:colOff>160200</xdr:colOff>
      <xdr:row>14</xdr:row>
      <xdr:rowOff>47780</xdr:rowOff>
    </xdr:to>
    <xdr:grpSp>
      <xdr:nvGrpSpPr>
        <xdr:cNvPr id="9" name="Group 8">
          <a:extLst>
            <a:ext uri="{FF2B5EF4-FFF2-40B4-BE49-F238E27FC236}">
              <a16:creationId xmlns:a16="http://schemas.microsoft.com/office/drawing/2014/main" id="{80A2EADC-0CBB-4796-987F-F7522EA45A3C}"/>
            </a:ext>
          </a:extLst>
        </xdr:cNvPr>
        <xdr:cNvGrpSpPr/>
      </xdr:nvGrpSpPr>
      <xdr:grpSpPr>
        <a:xfrm>
          <a:off x="76200" y="1859832"/>
          <a:ext cx="3120957" cy="816296"/>
          <a:chOff x="76200" y="960120"/>
          <a:chExt cx="2712720" cy="769620"/>
        </a:xfrm>
        <a:solidFill>
          <a:schemeClr val="accent1">
            <a:lumMod val="50000"/>
          </a:schemeClr>
        </a:solidFill>
      </xdr:grpSpPr>
      <xdr:sp macro="" textlink="">
        <xdr:nvSpPr>
          <xdr:cNvPr id="10" name="Rectangle: Rounded Corners 9">
            <a:extLst>
              <a:ext uri="{FF2B5EF4-FFF2-40B4-BE49-F238E27FC236}">
                <a16:creationId xmlns:a16="http://schemas.microsoft.com/office/drawing/2014/main" id="{01A30FAC-167C-9A9E-C6F5-4D16771C7848}"/>
              </a:ext>
            </a:extLst>
          </xdr:cNvPr>
          <xdr:cNvSpPr/>
        </xdr:nvSpPr>
        <xdr:spPr>
          <a:xfrm>
            <a:off x="76200" y="960120"/>
            <a:ext cx="2712720" cy="76962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IN" sz="4400">
              <a:solidFill>
                <a:schemeClr val="bg1"/>
              </a:solidFill>
              <a:latin typeface="Algerian" panose="04020705040A02060702" pitchFamily="82" charset="0"/>
            </a:endParaRPr>
          </a:p>
        </xdr:txBody>
      </xdr:sp>
      <xdr:sp macro="" textlink="">
        <xdr:nvSpPr>
          <xdr:cNvPr id="11" name="Rectangle: Rounded Corners 10">
            <a:extLst>
              <a:ext uri="{FF2B5EF4-FFF2-40B4-BE49-F238E27FC236}">
                <a16:creationId xmlns:a16="http://schemas.microsoft.com/office/drawing/2014/main" id="{8CA56D32-008C-B8AE-2F2A-B8FE4EF82D6C}"/>
              </a:ext>
            </a:extLst>
          </xdr:cNvPr>
          <xdr:cNvSpPr/>
        </xdr:nvSpPr>
        <xdr:spPr>
          <a:xfrm>
            <a:off x="100884" y="990600"/>
            <a:ext cx="358111" cy="7200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TextBox 11">
            <a:extLst>
              <a:ext uri="{FF2B5EF4-FFF2-40B4-BE49-F238E27FC236}">
                <a16:creationId xmlns:a16="http://schemas.microsoft.com/office/drawing/2014/main" id="{4F81812B-4DB5-348E-4B3D-CF3301DDB3E1}"/>
              </a:ext>
            </a:extLst>
          </xdr:cNvPr>
          <xdr:cNvSpPr txBox="1"/>
        </xdr:nvSpPr>
        <xdr:spPr>
          <a:xfrm>
            <a:off x="538194" y="1043940"/>
            <a:ext cx="2151666" cy="2667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000" b="1">
                <a:solidFill>
                  <a:schemeClr val="bg1"/>
                </a:solidFill>
                <a:latin typeface="Bookman Old Style" panose="02050604050505020204" pitchFamily="18" charset="0"/>
                <a:ea typeface="+mn-ea"/>
                <a:cs typeface="+mn-cs"/>
              </a:rPr>
              <a:t>Total Orders</a:t>
            </a:r>
          </a:p>
        </xdr:txBody>
      </xdr:sp>
      <xdr:sp macro="" textlink="dataset!W7">
        <xdr:nvSpPr>
          <xdr:cNvPr id="13" name="TextBox 12">
            <a:extLst>
              <a:ext uri="{FF2B5EF4-FFF2-40B4-BE49-F238E27FC236}">
                <a16:creationId xmlns:a16="http://schemas.microsoft.com/office/drawing/2014/main" id="{B659242B-4227-92EB-ADCB-BECCDE330556}"/>
              </a:ext>
            </a:extLst>
          </xdr:cNvPr>
          <xdr:cNvSpPr txBox="1"/>
        </xdr:nvSpPr>
        <xdr:spPr>
          <a:xfrm>
            <a:off x="551394" y="1371600"/>
            <a:ext cx="2130846" cy="2667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0664688-9BF9-475F-B7F2-FC887F2D93CD}" type="TxLink">
              <a:rPr lang="en-US" sz="2400" b="1" i="0" u="none" strike="noStrike">
                <a:solidFill>
                  <a:schemeClr val="bg1"/>
                </a:solidFill>
                <a:latin typeface="Bookman Old Style" panose="02050604050505020204" pitchFamily="18" charset="0"/>
                <a:ea typeface="Calibri"/>
                <a:cs typeface="Calibri"/>
              </a:rPr>
              <a:pPr algn="ctr"/>
              <a:t>72</a:t>
            </a:fld>
            <a:endParaRPr lang="en-IN" sz="8000" b="1">
              <a:solidFill>
                <a:schemeClr val="bg1"/>
              </a:solidFill>
              <a:latin typeface="Bookman Old Style" panose="02050604050505020204" pitchFamily="18" charset="0"/>
            </a:endParaRPr>
          </a:p>
        </xdr:txBody>
      </xdr:sp>
    </xdr:grpSp>
    <xdr:clientData/>
  </xdr:twoCellAnchor>
  <xdr:twoCellAnchor>
    <xdr:from>
      <xdr:col>0</xdr:col>
      <xdr:colOff>76200</xdr:colOff>
      <xdr:row>14</xdr:row>
      <xdr:rowOff>111760</xdr:rowOff>
    </xdr:from>
    <xdr:to>
      <xdr:col>5</xdr:col>
      <xdr:colOff>160200</xdr:colOff>
      <xdr:row>18</xdr:row>
      <xdr:rowOff>172240</xdr:rowOff>
    </xdr:to>
    <xdr:grpSp>
      <xdr:nvGrpSpPr>
        <xdr:cNvPr id="14" name="Group 13">
          <a:extLst>
            <a:ext uri="{FF2B5EF4-FFF2-40B4-BE49-F238E27FC236}">
              <a16:creationId xmlns:a16="http://schemas.microsoft.com/office/drawing/2014/main" id="{3E388E18-76C7-4C0F-B563-722150A2410B}"/>
            </a:ext>
          </a:extLst>
        </xdr:cNvPr>
        <xdr:cNvGrpSpPr/>
      </xdr:nvGrpSpPr>
      <xdr:grpSpPr>
        <a:xfrm>
          <a:off x="76200" y="2740108"/>
          <a:ext cx="3120957" cy="811436"/>
          <a:chOff x="76200" y="960120"/>
          <a:chExt cx="2712720" cy="769620"/>
        </a:xfrm>
        <a:solidFill>
          <a:schemeClr val="accent1">
            <a:lumMod val="50000"/>
          </a:schemeClr>
        </a:solidFill>
      </xdr:grpSpPr>
      <xdr:sp macro="" textlink="">
        <xdr:nvSpPr>
          <xdr:cNvPr id="15" name="Rectangle: Rounded Corners 14">
            <a:extLst>
              <a:ext uri="{FF2B5EF4-FFF2-40B4-BE49-F238E27FC236}">
                <a16:creationId xmlns:a16="http://schemas.microsoft.com/office/drawing/2014/main" id="{38270A66-395F-AAF0-F122-8E8155767EA3}"/>
              </a:ext>
            </a:extLst>
          </xdr:cNvPr>
          <xdr:cNvSpPr/>
        </xdr:nvSpPr>
        <xdr:spPr>
          <a:xfrm>
            <a:off x="76200" y="960120"/>
            <a:ext cx="2712720" cy="76962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IN" sz="4400">
              <a:solidFill>
                <a:schemeClr val="bg1"/>
              </a:solidFill>
              <a:latin typeface="Algerian" panose="04020705040A02060702" pitchFamily="82" charset="0"/>
            </a:endParaRPr>
          </a:p>
        </xdr:txBody>
      </xdr:sp>
      <xdr:sp macro="" textlink="">
        <xdr:nvSpPr>
          <xdr:cNvPr id="16" name="Rectangle: Rounded Corners 15">
            <a:extLst>
              <a:ext uri="{FF2B5EF4-FFF2-40B4-BE49-F238E27FC236}">
                <a16:creationId xmlns:a16="http://schemas.microsoft.com/office/drawing/2014/main" id="{FD3A3C5F-24D2-FADA-9079-9B30E1C55DEF}"/>
              </a:ext>
            </a:extLst>
          </xdr:cNvPr>
          <xdr:cNvSpPr/>
        </xdr:nvSpPr>
        <xdr:spPr>
          <a:xfrm>
            <a:off x="94331" y="982980"/>
            <a:ext cx="384464" cy="7200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TextBox 16">
            <a:extLst>
              <a:ext uri="{FF2B5EF4-FFF2-40B4-BE49-F238E27FC236}">
                <a16:creationId xmlns:a16="http://schemas.microsoft.com/office/drawing/2014/main" id="{EAD748D3-9A7E-369B-3DBA-1F9DAB4F5B2A}"/>
              </a:ext>
            </a:extLst>
          </xdr:cNvPr>
          <xdr:cNvSpPr txBox="1"/>
        </xdr:nvSpPr>
        <xdr:spPr>
          <a:xfrm>
            <a:off x="538195" y="1043940"/>
            <a:ext cx="2237369" cy="2667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000" b="1">
                <a:solidFill>
                  <a:schemeClr val="bg1">
                    <a:lumMod val="95000"/>
                  </a:schemeClr>
                </a:solidFill>
                <a:latin typeface="Bookman Old Style" panose="02050604050505020204" pitchFamily="18" charset="0"/>
                <a:ea typeface="+mn-ea"/>
                <a:cs typeface="+mn-cs"/>
              </a:rPr>
              <a:t>Total Customers</a:t>
            </a:r>
          </a:p>
        </xdr:txBody>
      </xdr:sp>
      <xdr:sp macro="" textlink="dataset!W10">
        <xdr:nvSpPr>
          <xdr:cNvPr id="18" name="TextBox 17">
            <a:extLst>
              <a:ext uri="{FF2B5EF4-FFF2-40B4-BE49-F238E27FC236}">
                <a16:creationId xmlns:a16="http://schemas.microsoft.com/office/drawing/2014/main" id="{4571D0A7-D191-D3AB-A97F-91D03981CB6B}"/>
              </a:ext>
            </a:extLst>
          </xdr:cNvPr>
          <xdr:cNvSpPr txBox="1"/>
        </xdr:nvSpPr>
        <xdr:spPr>
          <a:xfrm>
            <a:off x="531594" y="1371600"/>
            <a:ext cx="2150646" cy="2667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334AA8-CE68-4928-BF4B-833DE953FD56}" type="TxLink">
              <a:rPr lang="en-US" sz="2400" b="1" i="0" u="none" strike="noStrike">
                <a:solidFill>
                  <a:schemeClr val="bg1">
                    <a:lumMod val="95000"/>
                  </a:schemeClr>
                </a:solidFill>
                <a:latin typeface="Bookman Old Style" panose="02050604050505020204" pitchFamily="18" charset="0"/>
                <a:ea typeface="Calibri"/>
                <a:cs typeface="Calibri"/>
              </a:rPr>
              <a:pPr algn="ctr"/>
              <a:t>69</a:t>
            </a:fld>
            <a:endParaRPr lang="en-IN" sz="19900" b="1">
              <a:solidFill>
                <a:schemeClr val="bg1">
                  <a:lumMod val="95000"/>
                </a:schemeClr>
              </a:solidFill>
              <a:latin typeface="Bookman Old Style" panose="02050604050505020204" pitchFamily="18" charset="0"/>
            </a:endParaRPr>
          </a:p>
        </xdr:txBody>
      </xdr:sp>
    </xdr:grpSp>
    <xdr:clientData/>
  </xdr:twoCellAnchor>
  <xdr:twoCellAnchor>
    <xdr:from>
      <xdr:col>0</xdr:col>
      <xdr:colOff>76200</xdr:colOff>
      <xdr:row>19</xdr:row>
      <xdr:rowOff>53340</xdr:rowOff>
    </xdr:from>
    <xdr:to>
      <xdr:col>5</xdr:col>
      <xdr:colOff>160200</xdr:colOff>
      <xdr:row>23</xdr:row>
      <xdr:rowOff>113820</xdr:rowOff>
    </xdr:to>
    <xdr:grpSp>
      <xdr:nvGrpSpPr>
        <xdr:cNvPr id="19" name="Group 18">
          <a:extLst>
            <a:ext uri="{FF2B5EF4-FFF2-40B4-BE49-F238E27FC236}">
              <a16:creationId xmlns:a16="http://schemas.microsoft.com/office/drawing/2014/main" id="{638E9592-3898-4937-86CB-69248AE53488}"/>
            </a:ext>
          </a:extLst>
        </xdr:cNvPr>
        <xdr:cNvGrpSpPr/>
      </xdr:nvGrpSpPr>
      <xdr:grpSpPr>
        <a:xfrm>
          <a:off x="76200" y="3620383"/>
          <a:ext cx="3120957" cy="811437"/>
          <a:chOff x="76200" y="960120"/>
          <a:chExt cx="2712720" cy="769620"/>
        </a:xfrm>
        <a:solidFill>
          <a:schemeClr val="accent1">
            <a:lumMod val="50000"/>
          </a:schemeClr>
        </a:solidFill>
      </xdr:grpSpPr>
      <xdr:sp macro="" textlink="">
        <xdr:nvSpPr>
          <xdr:cNvPr id="20" name="Rectangle: Rounded Corners 19">
            <a:extLst>
              <a:ext uri="{FF2B5EF4-FFF2-40B4-BE49-F238E27FC236}">
                <a16:creationId xmlns:a16="http://schemas.microsoft.com/office/drawing/2014/main" id="{FE385D01-0CF6-8FBA-8AE4-7AB8D7B5E882}"/>
              </a:ext>
            </a:extLst>
          </xdr:cNvPr>
          <xdr:cNvSpPr/>
        </xdr:nvSpPr>
        <xdr:spPr>
          <a:xfrm>
            <a:off x="76200" y="960120"/>
            <a:ext cx="2712720" cy="76962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IN" sz="4400">
              <a:solidFill>
                <a:schemeClr val="bg1"/>
              </a:solidFill>
              <a:latin typeface="Algerian" panose="04020705040A02060702" pitchFamily="82" charset="0"/>
            </a:endParaRPr>
          </a:p>
        </xdr:txBody>
      </xdr:sp>
      <xdr:sp macro="" textlink="">
        <xdr:nvSpPr>
          <xdr:cNvPr id="21" name="Rectangle: Rounded Corners 20">
            <a:extLst>
              <a:ext uri="{FF2B5EF4-FFF2-40B4-BE49-F238E27FC236}">
                <a16:creationId xmlns:a16="http://schemas.microsoft.com/office/drawing/2014/main" id="{928C6CFF-26D4-86EF-C7B6-7A4FB44CF905}"/>
              </a:ext>
            </a:extLst>
          </xdr:cNvPr>
          <xdr:cNvSpPr/>
        </xdr:nvSpPr>
        <xdr:spPr>
          <a:xfrm>
            <a:off x="100979" y="982980"/>
            <a:ext cx="351416" cy="7200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TextBox 21">
            <a:extLst>
              <a:ext uri="{FF2B5EF4-FFF2-40B4-BE49-F238E27FC236}">
                <a16:creationId xmlns:a16="http://schemas.microsoft.com/office/drawing/2014/main" id="{4435CBA9-9D35-2BA1-F5F9-40AE32A3E63E}"/>
              </a:ext>
            </a:extLst>
          </xdr:cNvPr>
          <xdr:cNvSpPr txBox="1"/>
        </xdr:nvSpPr>
        <xdr:spPr>
          <a:xfrm>
            <a:off x="538194" y="1043940"/>
            <a:ext cx="2151667" cy="2667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000" b="1">
                <a:solidFill>
                  <a:schemeClr val="bg1">
                    <a:lumMod val="95000"/>
                  </a:schemeClr>
                </a:solidFill>
                <a:latin typeface="Bookman Old Style" panose="02050604050505020204" pitchFamily="18" charset="0"/>
                <a:ea typeface="+mn-ea"/>
                <a:cs typeface="+mn-cs"/>
              </a:rPr>
              <a:t>Avg</a:t>
            </a:r>
            <a:r>
              <a:rPr lang="en-IN" sz="2000" b="1" baseline="0">
                <a:solidFill>
                  <a:schemeClr val="bg1">
                    <a:lumMod val="95000"/>
                  </a:schemeClr>
                </a:solidFill>
                <a:latin typeface="Bookman Old Style" panose="02050604050505020204" pitchFamily="18" charset="0"/>
                <a:ea typeface="+mn-ea"/>
                <a:cs typeface="+mn-cs"/>
              </a:rPr>
              <a:t> Sales</a:t>
            </a:r>
            <a:endParaRPr lang="en-IN" sz="2000" b="1">
              <a:solidFill>
                <a:schemeClr val="bg1">
                  <a:lumMod val="95000"/>
                </a:schemeClr>
              </a:solidFill>
              <a:latin typeface="Bookman Old Style" panose="02050604050505020204" pitchFamily="18" charset="0"/>
              <a:ea typeface="+mn-ea"/>
              <a:cs typeface="+mn-cs"/>
            </a:endParaRPr>
          </a:p>
        </xdr:txBody>
      </xdr:sp>
      <xdr:sp macro="" textlink="dataset!W16">
        <xdr:nvSpPr>
          <xdr:cNvPr id="23" name="TextBox 22">
            <a:extLst>
              <a:ext uri="{FF2B5EF4-FFF2-40B4-BE49-F238E27FC236}">
                <a16:creationId xmlns:a16="http://schemas.microsoft.com/office/drawing/2014/main" id="{247AE54E-4555-C916-BF18-0E553F66DEF4}"/>
              </a:ext>
            </a:extLst>
          </xdr:cNvPr>
          <xdr:cNvSpPr txBox="1"/>
        </xdr:nvSpPr>
        <xdr:spPr>
          <a:xfrm>
            <a:off x="518394" y="1371600"/>
            <a:ext cx="2163846" cy="2667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F80ED5-7B7B-4CC1-9613-4042340083A2}" type="TxLink">
              <a:rPr lang="en-US" sz="2400" b="1" i="0" u="none" strike="noStrike">
                <a:solidFill>
                  <a:schemeClr val="bg1"/>
                </a:solidFill>
                <a:latin typeface="Bookman Old Style" panose="02050604050505020204" pitchFamily="18" charset="0"/>
                <a:ea typeface="Calibri"/>
                <a:cs typeface="Calibri"/>
              </a:rPr>
              <a:pPr algn="ctr"/>
              <a:t>₹ 193.38</a:t>
            </a:fld>
            <a:endParaRPr lang="en-US" sz="2400" b="1">
              <a:solidFill>
                <a:schemeClr val="bg1"/>
              </a:solidFill>
              <a:latin typeface="Bookman Old Style" panose="02050604050505020204" pitchFamily="18" charset="0"/>
            </a:endParaRPr>
          </a:p>
        </xdr:txBody>
      </xdr:sp>
    </xdr:grpSp>
    <xdr:clientData/>
  </xdr:twoCellAnchor>
  <xdr:twoCellAnchor editAs="oneCell">
    <xdr:from>
      <xdr:col>0</xdr:col>
      <xdr:colOff>121920</xdr:colOff>
      <xdr:row>10</xdr:row>
      <xdr:rowOff>60960</xdr:rowOff>
    </xdr:from>
    <xdr:to>
      <xdr:col>0</xdr:col>
      <xdr:colOff>518160</xdr:colOff>
      <xdr:row>14</xdr:row>
      <xdr:rowOff>13440</xdr:rowOff>
    </xdr:to>
    <xdr:pic>
      <xdr:nvPicPr>
        <xdr:cNvPr id="24" name="Graphic 23" descr="Bar graph with upward trend with solid fill">
          <a:extLst>
            <a:ext uri="{FF2B5EF4-FFF2-40B4-BE49-F238E27FC236}">
              <a16:creationId xmlns:a16="http://schemas.microsoft.com/office/drawing/2014/main" id="{F57C90A4-2DF1-4AF0-8761-AC238ECE4FB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1920" y="1889760"/>
          <a:ext cx="396240" cy="684000"/>
        </a:xfrm>
        <a:prstGeom prst="rect">
          <a:avLst/>
        </a:prstGeom>
      </xdr:spPr>
    </xdr:pic>
    <xdr:clientData/>
  </xdr:twoCellAnchor>
  <xdr:twoCellAnchor editAs="oneCell">
    <xdr:from>
      <xdr:col>0</xdr:col>
      <xdr:colOff>111900</xdr:colOff>
      <xdr:row>19</xdr:row>
      <xdr:rowOff>96660</xdr:rowOff>
    </xdr:from>
    <xdr:to>
      <xdr:col>0</xdr:col>
      <xdr:colOff>480060</xdr:colOff>
      <xdr:row>23</xdr:row>
      <xdr:rowOff>49140</xdr:rowOff>
    </xdr:to>
    <xdr:pic>
      <xdr:nvPicPr>
        <xdr:cNvPr id="25" name="Graphic 24" descr="Coins with solid fill">
          <a:extLst>
            <a:ext uri="{FF2B5EF4-FFF2-40B4-BE49-F238E27FC236}">
              <a16:creationId xmlns:a16="http://schemas.microsoft.com/office/drawing/2014/main" id="{CB7CE7DF-8EF7-49EB-A8D7-129CF8AF1D2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1900" y="3571380"/>
          <a:ext cx="368160" cy="684000"/>
        </a:xfrm>
        <a:prstGeom prst="rect">
          <a:avLst/>
        </a:prstGeom>
      </xdr:spPr>
    </xdr:pic>
    <xdr:clientData/>
  </xdr:twoCellAnchor>
  <xdr:twoCellAnchor editAs="oneCell">
    <xdr:from>
      <xdr:col>0</xdr:col>
      <xdr:colOff>107100</xdr:colOff>
      <xdr:row>15</xdr:row>
      <xdr:rowOff>38521</xdr:rowOff>
    </xdr:from>
    <xdr:to>
      <xdr:col>0</xdr:col>
      <xdr:colOff>525780</xdr:colOff>
      <xdr:row>17</xdr:row>
      <xdr:rowOff>131310</xdr:rowOff>
    </xdr:to>
    <xdr:pic>
      <xdr:nvPicPr>
        <xdr:cNvPr id="26" name="Graphic 25" descr="Money with solid fill">
          <a:extLst>
            <a:ext uri="{FF2B5EF4-FFF2-40B4-BE49-F238E27FC236}">
              <a16:creationId xmlns:a16="http://schemas.microsoft.com/office/drawing/2014/main" id="{D507E48C-52A2-4AAE-A2C5-982CBAC8A31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7100" y="2781721"/>
          <a:ext cx="418680" cy="458549"/>
        </a:xfrm>
        <a:prstGeom prst="rect">
          <a:avLst/>
        </a:prstGeom>
      </xdr:spPr>
    </xdr:pic>
    <xdr:clientData/>
  </xdr:twoCellAnchor>
  <xdr:twoCellAnchor editAs="oneCell">
    <xdr:from>
      <xdr:col>0</xdr:col>
      <xdr:colOff>99060</xdr:colOff>
      <xdr:row>5</xdr:row>
      <xdr:rowOff>68580</xdr:rowOff>
    </xdr:from>
    <xdr:to>
      <xdr:col>0</xdr:col>
      <xdr:colOff>510540</xdr:colOff>
      <xdr:row>9</xdr:row>
      <xdr:rowOff>21060</xdr:rowOff>
    </xdr:to>
    <xdr:pic>
      <xdr:nvPicPr>
        <xdr:cNvPr id="27" name="Graphic 26" descr="Bank with solid fill">
          <a:extLst>
            <a:ext uri="{FF2B5EF4-FFF2-40B4-BE49-F238E27FC236}">
              <a16:creationId xmlns:a16="http://schemas.microsoft.com/office/drawing/2014/main" id="{D3BC6EC7-B0BB-4A5F-B0E5-5EC137F4B9E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9060" y="982980"/>
          <a:ext cx="411480" cy="684000"/>
        </a:xfrm>
        <a:prstGeom prst="rect">
          <a:avLst/>
        </a:prstGeom>
      </xdr:spPr>
    </xdr:pic>
    <xdr:clientData/>
  </xdr:twoCellAnchor>
  <xdr:twoCellAnchor>
    <xdr:from>
      <xdr:col>5</xdr:col>
      <xdr:colOff>327660</xdr:colOff>
      <xdr:row>5</xdr:row>
      <xdr:rowOff>54920</xdr:rowOff>
    </xdr:from>
    <xdr:to>
      <xdr:col>14</xdr:col>
      <xdr:colOff>133260</xdr:colOff>
      <xdr:row>17</xdr:row>
      <xdr:rowOff>20360</xdr:rowOff>
    </xdr:to>
    <xdr:graphicFrame macro="">
      <xdr:nvGraphicFramePr>
        <xdr:cNvPr id="28" name="Chart 27">
          <a:extLst>
            <a:ext uri="{FF2B5EF4-FFF2-40B4-BE49-F238E27FC236}">
              <a16:creationId xmlns:a16="http://schemas.microsoft.com/office/drawing/2014/main" id="{09DAB22B-F75F-4D6F-B742-462A051E07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241800</xdr:colOff>
      <xdr:row>17</xdr:row>
      <xdr:rowOff>133700</xdr:rowOff>
    </xdr:from>
    <xdr:to>
      <xdr:col>23</xdr:col>
      <xdr:colOff>76200</xdr:colOff>
      <xdr:row>29</xdr:row>
      <xdr:rowOff>171140</xdr:rowOff>
    </xdr:to>
    <xdr:graphicFrame macro="">
      <xdr:nvGraphicFramePr>
        <xdr:cNvPr id="29" name="Chart 28">
          <a:extLst>
            <a:ext uri="{FF2B5EF4-FFF2-40B4-BE49-F238E27FC236}">
              <a16:creationId xmlns:a16="http://schemas.microsoft.com/office/drawing/2014/main" id="{2F6817C3-E07F-49F1-9C14-8F53E59389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335280</xdr:colOff>
      <xdr:row>17</xdr:row>
      <xdr:rowOff>128620</xdr:rowOff>
    </xdr:from>
    <xdr:to>
      <xdr:col>11</xdr:col>
      <xdr:colOff>169680</xdr:colOff>
      <xdr:row>29</xdr:row>
      <xdr:rowOff>166060</xdr:rowOff>
    </xdr:to>
    <xdr:graphicFrame macro="">
      <xdr:nvGraphicFramePr>
        <xdr:cNvPr id="30" name="Chart 29">
          <a:extLst>
            <a:ext uri="{FF2B5EF4-FFF2-40B4-BE49-F238E27FC236}">
              <a16:creationId xmlns:a16="http://schemas.microsoft.com/office/drawing/2014/main" id="{B3CE0ABB-D030-40E4-A855-503EE92DB1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281940</xdr:colOff>
      <xdr:row>17</xdr:row>
      <xdr:rowOff>133700</xdr:rowOff>
    </xdr:from>
    <xdr:to>
      <xdr:col>17</xdr:col>
      <xdr:colOff>116340</xdr:colOff>
      <xdr:row>29</xdr:row>
      <xdr:rowOff>171140</xdr:rowOff>
    </xdr:to>
    <xdr:graphicFrame macro="">
      <xdr:nvGraphicFramePr>
        <xdr:cNvPr id="31" name="Chart 30">
          <a:extLst>
            <a:ext uri="{FF2B5EF4-FFF2-40B4-BE49-F238E27FC236}">
              <a16:creationId xmlns:a16="http://schemas.microsoft.com/office/drawing/2014/main" id="{09FD2333-2AE4-4A6E-B6FD-0655EEFE9F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270600</xdr:colOff>
      <xdr:row>5</xdr:row>
      <xdr:rowOff>57460</xdr:rowOff>
    </xdr:from>
    <xdr:to>
      <xdr:col>23</xdr:col>
      <xdr:colOff>76200</xdr:colOff>
      <xdr:row>17</xdr:row>
      <xdr:rowOff>22900</xdr:rowOff>
    </xdr:to>
    <xdr:graphicFrame macro="">
      <xdr:nvGraphicFramePr>
        <xdr:cNvPr id="32" name="Chart 31">
          <a:extLst>
            <a:ext uri="{FF2B5EF4-FFF2-40B4-BE49-F238E27FC236}">
              <a16:creationId xmlns:a16="http://schemas.microsoft.com/office/drawing/2014/main" id="{4998A9AC-C7DC-4D75-9844-58175E178A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114300</xdr:colOff>
      <xdr:row>23</xdr:row>
      <xdr:rowOff>160020</xdr:rowOff>
    </xdr:from>
    <xdr:to>
      <xdr:col>5</xdr:col>
      <xdr:colOff>137160</xdr:colOff>
      <xdr:row>30</xdr:row>
      <xdr:rowOff>53340</xdr:rowOff>
    </xdr:to>
    <mc:AlternateContent xmlns:mc="http://schemas.openxmlformats.org/markup-compatibility/2006" xmlns:a14="http://schemas.microsoft.com/office/drawing/2010/main">
      <mc:Choice Requires="a14">
        <xdr:graphicFrame macro="">
          <xdr:nvGraphicFramePr>
            <xdr:cNvPr id="33" name="Years (Order Date) 4">
              <a:extLst>
                <a:ext uri="{FF2B5EF4-FFF2-40B4-BE49-F238E27FC236}">
                  <a16:creationId xmlns:a16="http://schemas.microsoft.com/office/drawing/2014/main" id="{F46E7799-E9E4-4E41-BDBB-437F26947797}"/>
                </a:ext>
              </a:extLst>
            </xdr:cNvPr>
            <xdr:cNvGraphicFramePr/>
          </xdr:nvGraphicFramePr>
          <xdr:xfrm>
            <a:off x="0" y="0"/>
            <a:ext cx="0" cy="0"/>
          </xdr:xfrm>
          <a:graphic>
            <a:graphicData uri="http://schemas.microsoft.com/office/drawing/2010/slicer">
              <sle:slicer xmlns:sle="http://schemas.microsoft.com/office/drawing/2010/slicer" name="Years (Order Date) 4"/>
            </a:graphicData>
          </a:graphic>
        </xdr:graphicFrame>
      </mc:Choice>
      <mc:Fallback xmlns="">
        <xdr:sp macro="" textlink="">
          <xdr:nvSpPr>
            <xdr:cNvPr id="0" name=""/>
            <xdr:cNvSpPr>
              <a:spLocks noTextEdit="1"/>
            </xdr:cNvSpPr>
          </xdr:nvSpPr>
          <xdr:spPr>
            <a:xfrm>
              <a:off x="114300" y="4366260"/>
              <a:ext cx="3070860"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30</xdr:row>
      <xdr:rowOff>91440</xdr:rowOff>
    </xdr:from>
    <xdr:to>
      <xdr:col>5</xdr:col>
      <xdr:colOff>137160</xdr:colOff>
      <xdr:row>36</xdr:row>
      <xdr:rowOff>146160</xdr:rowOff>
    </xdr:to>
    <mc:AlternateContent xmlns:mc="http://schemas.openxmlformats.org/markup-compatibility/2006" xmlns:a14="http://schemas.microsoft.com/office/drawing/2010/main">
      <mc:Choice Requires="a14">
        <xdr:graphicFrame macro="">
          <xdr:nvGraphicFramePr>
            <xdr:cNvPr id="34" name="Region 4">
              <a:extLst>
                <a:ext uri="{FF2B5EF4-FFF2-40B4-BE49-F238E27FC236}">
                  <a16:creationId xmlns:a16="http://schemas.microsoft.com/office/drawing/2014/main" id="{16C3C877-E8AA-4698-A0EE-A5FF8E38EB4B}"/>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114300" y="5577840"/>
              <a:ext cx="3070860" cy="11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266700</xdr:colOff>
      <xdr:row>30</xdr:row>
      <xdr:rowOff>99060</xdr:rowOff>
    </xdr:from>
    <xdr:to>
      <xdr:col>17</xdr:col>
      <xdr:colOff>101100</xdr:colOff>
      <xdr:row>36</xdr:row>
      <xdr:rowOff>153780</xdr:rowOff>
    </xdr:to>
    <mc:AlternateContent xmlns:mc="http://schemas.openxmlformats.org/markup-compatibility/2006" xmlns:a14="http://schemas.microsoft.com/office/drawing/2010/main">
      <mc:Choice Requires="a14">
        <xdr:graphicFrame macro="">
          <xdr:nvGraphicFramePr>
            <xdr:cNvPr id="35" name="Ship Mode 3">
              <a:extLst>
                <a:ext uri="{FF2B5EF4-FFF2-40B4-BE49-F238E27FC236}">
                  <a16:creationId xmlns:a16="http://schemas.microsoft.com/office/drawing/2014/main" id="{65121A45-2727-44F1-AABB-D2BD37BF7782}"/>
                </a:ext>
              </a:extLst>
            </xdr:cNvPr>
            <xdr:cNvGraphicFramePr/>
          </xdr:nvGraphicFramePr>
          <xdr:xfrm>
            <a:off x="0" y="0"/>
            <a:ext cx="0" cy="0"/>
          </xdr:xfrm>
          <a:graphic>
            <a:graphicData uri="http://schemas.microsoft.com/office/drawing/2010/slicer">
              <sle:slicer xmlns:sle="http://schemas.microsoft.com/office/drawing/2010/slicer" name="Ship Mode 3"/>
            </a:graphicData>
          </a:graphic>
        </xdr:graphicFrame>
      </mc:Choice>
      <mc:Fallback xmlns="">
        <xdr:sp macro="" textlink="">
          <xdr:nvSpPr>
            <xdr:cNvPr id="0" name=""/>
            <xdr:cNvSpPr>
              <a:spLocks noTextEdit="1"/>
            </xdr:cNvSpPr>
          </xdr:nvSpPr>
          <xdr:spPr>
            <a:xfrm>
              <a:off x="6972300" y="5585460"/>
              <a:ext cx="3492000" cy="11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327660</xdr:colOff>
      <xdr:row>30</xdr:row>
      <xdr:rowOff>91440</xdr:rowOff>
    </xdr:from>
    <xdr:to>
      <xdr:col>11</xdr:col>
      <xdr:colOff>162060</xdr:colOff>
      <xdr:row>36</xdr:row>
      <xdr:rowOff>146160</xdr:rowOff>
    </xdr:to>
    <mc:AlternateContent xmlns:mc="http://schemas.openxmlformats.org/markup-compatibility/2006" xmlns:a14="http://schemas.microsoft.com/office/drawing/2010/main">
      <mc:Choice Requires="a14">
        <xdr:graphicFrame macro="">
          <xdr:nvGraphicFramePr>
            <xdr:cNvPr id="36" name="Category 3">
              <a:extLst>
                <a:ext uri="{FF2B5EF4-FFF2-40B4-BE49-F238E27FC236}">
                  <a16:creationId xmlns:a16="http://schemas.microsoft.com/office/drawing/2014/main" id="{59F2D0F3-FB53-4CED-B180-7AF56318E919}"/>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3375660" y="5577840"/>
              <a:ext cx="3492000" cy="11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241800</xdr:colOff>
      <xdr:row>30</xdr:row>
      <xdr:rowOff>99060</xdr:rowOff>
    </xdr:from>
    <xdr:to>
      <xdr:col>23</xdr:col>
      <xdr:colOff>76200</xdr:colOff>
      <xdr:row>36</xdr:row>
      <xdr:rowOff>153780</xdr:rowOff>
    </xdr:to>
    <mc:AlternateContent xmlns:mc="http://schemas.openxmlformats.org/markup-compatibility/2006" xmlns:a14="http://schemas.microsoft.com/office/drawing/2010/main">
      <mc:Choice Requires="a14">
        <xdr:graphicFrame macro="">
          <xdr:nvGraphicFramePr>
            <xdr:cNvPr id="37" name="Segment 3">
              <a:extLst>
                <a:ext uri="{FF2B5EF4-FFF2-40B4-BE49-F238E27FC236}">
                  <a16:creationId xmlns:a16="http://schemas.microsoft.com/office/drawing/2014/main" id="{93F3DE22-BAD4-4737-90E6-1F15FAD0C80C}"/>
                </a:ext>
              </a:extLst>
            </xdr:cNvPr>
            <xdr:cNvGraphicFramePr/>
          </xdr:nvGraphicFramePr>
          <xdr:xfrm>
            <a:off x="0" y="0"/>
            <a:ext cx="0" cy="0"/>
          </xdr:xfrm>
          <a:graphic>
            <a:graphicData uri="http://schemas.microsoft.com/office/drawing/2010/slicer">
              <sle:slicer xmlns:sle="http://schemas.microsoft.com/office/drawing/2010/slicer" name="Segment 3"/>
            </a:graphicData>
          </a:graphic>
        </xdr:graphicFrame>
      </mc:Choice>
      <mc:Fallback xmlns="">
        <xdr:sp macro="" textlink="">
          <xdr:nvSpPr>
            <xdr:cNvPr id="0" name=""/>
            <xdr:cNvSpPr>
              <a:spLocks noTextEdit="1"/>
            </xdr:cNvSpPr>
          </xdr:nvSpPr>
          <xdr:spPr>
            <a:xfrm>
              <a:off x="10605000" y="5585460"/>
              <a:ext cx="3492000" cy="11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167636</xdr:colOff>
      <xdr:row>0</xdr:row>
      <xdr:rowOff>167640</xdr:rowOff>
    </xdr:from>
    <xdr:to>
      <xdr:col>20</xdr:col>
      <xdr:colOff>278036</xdr:colOff>
      <xdr:row>4</xdr:row>
      <xdr:rowOff>57934</xdr:rowOff>
    </xdr:to>
    <xdr:pic>
      <xdr:nvPicPr>
        <xdr:cNvPr id="38" name="Picture 37">
          <a:extLst>
            <a:ext uri="{FF2B5EF4-FFF2-40B4-BE49-F238E27FC236}">
              <a16:creationId xmlns:a16="http://schemas.microsoft.com/office/drawing/2014/main" id="{B42952B0-8B45-4F1F-B159-9FB5ACF4DC1E}"/>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1750036" y="167640"/>
          <a:ext cx="720000" cy="6218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457196</xdr:colOff>
      <xdr:row>0</xdr:row>
      <xdr:rowOff>160020</xdr:rowOff>
    </xdr:from>
    <xdr:to>
      <xdr:col>3</xdr:col>
      <xdr:colOff>567596</xdr:colOff>
      <xdr:row>4</xdr:row>
      <xdr:rowOff>50314</xdr:rowOff>
    </xdr:to>
    <xdr:pic>
      <xdr:nvPicPr>
        <xdr:cNvPr id="39" name="Picture 38">
          <a:extLst>
            <a:ext uri="{FF2B5EF4-FFF2-40B4-BE49-F238E27FC236}">
              <a16:creationId xmlns:a16="http://schemas.microsoft.com/office/drawing/2014/main" id="{CF7ABC7A-AB93-430F-8DCD-6E15FD054D14}"/>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676396" y="160020"/>
          <a:ext cx="720000" cy="6218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110436</xdr:colOff>
      <xdr:row>37</xdr:row>
      <xdr:rowOff>186446</xdr:rowOff>
    </xdr:from>
    <xdr:to>
      <xdr:col>23</xdr:col>
      <xdr:colOff>97276</xdr:colOff>
      <xdr:row>49</xdr:row>
      <xdr:rowOff>16212</xdr:rowOff>
    </xdr:to>
    <xdr:sp macro="" textlink="">
      <xdr:nvSpPr>
        <xdr:cNvPr id="40" name="Rectangle 39">
          <a:extLst>
            <a:ext uri="{FF2B5EF4-FFF2-40B4-BE49-F238E27FC236}">
              <a16:creationId xmlns:a16="http://schemas.microsoft.com/office/drawing/2014/main" id="{8A3D13C1-2F68-9D96-0382-8D2A029134D4}"/>
            </a:ext>
          </a:extLst>
        </xdr:cNvPr>
        <xdr:cNvSpPr/>
      </xdr:nvSpPr>
      <xdr:spPr>
        <a:xfrm>
          <a:off x="110436" y="7132794"/>
          <a:ext cx="13956840" cy="208263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KEY</a:t>
          </a:r>
          <a:r>
            <a:rPr lang="en-IN" sz="2000" b="1" baseline="0"/>
            <a:t> INSIGTS   </a:t>
          </a:r>
        </a:p>
        <a:p>
          <a:pPr algn="l"/>
          <a:endParaRPr lang="en-IN" sz="2000" b="1" baseline="0"/>
        </a:p>
        <a:p>
          <a:pPr algn="l"/>
          <a:r>
            <a:rPr lang="en-IN" sz="2000" b="1" baseline="0"/>
            <a:t>• </a:t>
          </a:r>
          <a:r>
            <a:rPr lang="en-IN" sz="1800" b="1" baseline="0">
              <a:latin typeface="Bookman Old Style" panose="02050604050505020204" pitchFamily="18" charset="0"/>
            </a:rPr>
            <a:t>Furniture is the top-selling category.</a:t>
          </a:r>
        </a:p>
        <a:p>
          <a:pPr algn="l"/>
          <a:r>
            <a:rPr lang="en-IN" sz="1800" b="1" baseline="0">
              <a:latin typeface="Bookman Old Style" panose="02050604050505020204" pitchFamily="18" charset="0"/>
            </a:rPr>
            <a:t>• West region contributes highest sales.</a:t>
          </a:r>
        </a:p>
        <a:p>
          <a:pPr algn="l"/>
          <a:r>
            <a:rPr lang="en-IN" sz="1800" b="1" baseline="0">
              <a:latin typeface="Bookman Old Style" panose="02050604050505020204" pitchFamily="18" charset="0"/>
            </a:rPr>
            <a:t>• Riverside Bookcase is the best-selling product.</a:t>
          </a:r>
        </a:p>
        <a:p>
          <a:pPr algn="l"/>
          <a:r>
            <a:rPr lang="en-IN" sz="1800" b="1" baseline="0">
              <a:latin typeface="Bookman Old Style" panose="02050604050505020204" pitchFamily="18" charset="0"/>
            </a:rPr>
            <a:t>• Sales peak during year-end months.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nasundhari" refreshedDate="46005.552751041665" createdVersion="8" refreshedVersion="8" minRefreshableVersion="3" recordCount="149" xr:uid="{520986D0-0998-49E8-A6DB-EC6E91A0EF50}">
  <cacheSource type="worksheet">
    <worksheetSource name="Table2"/>
  </cacheSource>
  <cacheFields count="22">
    <cacheField name="Row ID" numFmtId="0">
      <sharedItems containsSemiMixedTypes="0" containsString="0" containsNumber="1" containsInteger="1" minValue="1" maxValue="149"/>
    </cacheField>
    <cacheField name="Order ID" numFmtId="0">
      <sharedItems/>
    </cacheField>
    <cacheField name="Order Date" numFmtId="14">
      <sharedItems containsSemiMixedTypes="0" containsNonDate="0" containsDate="1" containsString="0" minDate="2015-05-13T00:00:00" maxDate="2018-12-26T00:00:00" count="69">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sharedItems>
      <fieldGroup par="21"/>
    </cacheField>
    <cacheField name="Ship Date" numFmtId="14">
      <sharedItems containsSemiMixedTypes="0" containsNonDate="0" containsDate="1" containsString="0" minDate="2015-05-15T00:00:00" maxDate="2018-12-31T00:00:00"/>
    </cacheField>
    <cacheField name="Ship Mode" numFmtId="0">
      <sharedItems count="3">
        <s v="Second Class"/>
        <s v="Standard Class"/>
        <s v="First Class"/>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009" maxValue="98103"/>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5">
        <s v="Bookcases"/>
        <s v="Chairs"/>
        <s v="Labels"/>
        <s v="Tables"/>
        <s v="Storage"/>
        <s v="Furnishings"/>
        <s v="Art"/>
        <s v="Phones"/>
        <s v="Binders"/>
        <s v="Appliances"/>
        <s v="Paper"/>
        <s v="Accessories"/>
        <s v="Envelopes"/>
        <s v="Fasteners"/>
        <s v="Supplies"/>
      </sharedItems>
    </cacheField>
    <cacheField name="Product Name" numFmtId="0">
      <sharedItems count="142">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haredItems>
    </cacheField>
    <cacheField name="Sales" numFmtId="0">
      <sharedItems containsSemiMixedTypes="0" containsString="0" containsNumber="1" minValue="1.248" maxValue="3083.43" count="146">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sharedItems>
    </cacheField>
    <cacheField name="values2" numFmtId="0">
      <sharedItems containsSemiMixedTypes="0" containsString="0" containsNumber="1" containsInteger="1" minValue="1" maxValue="7"/>
    </cacheField>
    <cacheField name="Months (Order Date)" numFmtId="0" databaseField="0">
      <fieldGroup base="2">
        <rangePr groupBy="months" startDate="2015-05-13T00:00:00" endDate="2018-12-26T00:00:00"/>
        <groupItems count="14">
          <s v="&lt;13-05-2015"/>
          <s v="Jan"/>
          <s v="Feb"/>
          <s v="Mar"/>
          <s v="Apr"/>
          <s v="May"/>
          <s v="Jun"/>
          <s v="Jul"/>
          <s v="Aug"/>
          <s v="Sep"/>
          <s v="Oct"/>
          <s v="Nov"/>
          <s v="Dec"/>
          <s v="&gt;26-12-2018"/>
        </groupItems>
      </fieldGroup>
    </cacheField>
    <cacheField name="Quarters (Order Date)" numFmtId="0" databaseField="0">
      <fieldGroup base="2">
        <rangePr groupBy="quarters" startDate="2015-05-13T00:00:00" endDate="2018-12-26T00:00:00"/>
        <groupItems count="6">
          <s v="&lt;13-05-2015"/>
          <s v="Qtr1"/>
          <s v="Qtr2"/>
          <s v="Qtr3"/>
          <s v="Qtr4"/>
          <s v="&gt;26-12-2018"/>
        </groupItems>
      </fieldGroup>
    </cacheField>
    <cacheField name="Years (Order Date)" numFmtId="0" databaseField="0">
      <fieldGroup base="2">
        <rangePr groupBy="years" startDate="2015-05-13T00:00:00" endDate="2018-12-26T00:00:00"/>
        <groupItems count="6">
          <s v="&lt;13-05-2015"/>
          <s v="2015"/>
          <s v="2016"/>
          <s v="2017"/>
          <s v="2018"/>
          <s v="&gt;26-12-2018"/>
        </groupItems>
      </fieldGroup>
    </cacheField>
  </cacheFields>
  <extLst>
    <ext xmlns:x14="http://schemas.microsoft.com/office/spreadsheetml/2009/9/main" uri="{725AE2AE-9491-48be-B2B4-4EB974FC3084}">
      <x14:pivotCacheDefinition pivotCacheId="15929355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n v="1"/>
    <s v="CA-2017-152156"/>
    <x v="0"/>
    <d v="2017-11-11T00:00:00"/>
    <x v="0"/>
    <s v="CG-12520"/>
    <s v="Claire Gute"/>
    <x v="0"/>
    <s v="United States"/>
    <s v="Henderson"/>
    <s v="Kentucky"/>
    <n v="42420"/>
    <x v="0"/>
    <s v="FUR-BO-10001798"/>
    <x v="0"/>
    <x v="0"/>
    <x v="0"/>
    <x v="0"/>
    <n v="3"/>
  </r>
  <r>
    <n v="2"/>
    <s v="CA-2017-152156"/>
    <x v="0"/>
    <d v="2017-11-11T00:00:00"/>
    <x v="0"/>
    <s v="CG-12520"/>
    <s v="Claire Gute"/>
    <x v="0"/>
    <s v="United States"/>
    <s v="Henderson"/>
    <s v="Kentucky"/>
    <n v="42420"/>
    <x v="0"/>
    <s v="FUR-CH-10000454"/>
    <x v="0"/>
    <x v="1"/>
    <x v="1"/>
    <x v="1"/>
    <n v="3"/>
  </r>
  <r>
    <n v="3"/>
    <s v="CA-2017-138688"/>
    <x v="1"/>
    <d v="2017-06-16T00:00:00"/>
    <x v="0"/>
    <s v="DV-13045"/>
    <s v="Darrin Van Huff"/>
    <x v="1"/>
    <s v="United States"/>
    <s v="Los Angeles"/>
    <s v="California"/>
    <n v="90036"/>
    <x v="1"/>
    <s v="OFF-LA-10000240"/>
    <x v="1"/>
    <x v="2"/>
    <x v="2"/>
    <x v="2"/>
    <n v="4"/>
  </r>
  <r>
    <n v="4"/>
    <s v="US-2016-108966"/>
    <x v="2"/>
    <d v="2016-10-18T00:00:00"/>
    <x v="1"/>
    <s v="SO-20335"/>
    <s v="Sean O'Donnell"/>
    <x v="0"/>
    <s v="United States"/>
    <s v="Fort Lauderdale"/>
    <s v="Florida"/>
    <n v="33311"/>
    <x v="0"/>
    <s v="FUR-TA-10000577"/>
    <x v="0"/>
    <x v="3"/>
    <x v="3"/>
    <x v="3"/>
    <n v="7"/>
  </r>
  <r>
    <n v="5"/>
    <s v="US-2016-108966"/>
    <x v="2"/>
    <d v="2016-10-18T00:00:00"/>
    <x v="1"/>
    <s v="SO-20335"/>
    <s v="Sean O'Donnell"/>
    <x v="0"/>
    <s v="United States"/>
    <s v="Fort Lauderdale"/>
    <s v="Florida"/>
    <n v="33311"/>
    <x v="0"/>
    <s v="OFF-ST-10000760"/>
    <x v="1"/>
    <x v="4"/>
    <x v="4"/>
    <x v="4"/>
    <n v="7"/>
  </r>
  <r>
    <n v="6"/>
    <s v="CA-2015-115812"/>
    <x v="3"/>
    <d v="2015-06-14T00:00:00"/>
    <x v="1"/>
    <s v="BH-11710"/>
    <s v="Brosina Hoffman"/>
    <x v="0"/>
    <s v="United States"/>
    <s v="Los Angeles"/>
    <s v="California"/>
    <n v="90032"/>
    <x v="1"/>
    <s v="FUR-FU-10001487"/>
    <x v="0"/>
    <x v="5"/>
    <x v="5"/>
    <x v="5"/>
    <n v="5"/>
  </r>
  <r>
    <n v="7"/>
    <s v="CA-2015-115812"/>
    <x v="3"/>
    <d v="2015-06-14T00:00:00"/>
    <x v="1"/>
    <s v="BH-11710"/>
    <s v="Brosina Hoffman"/>
    <x v="0"/>
    <s v="United States"/>
    <s v="Los Angeles"/>
    <s v="California"/>
    <n v="90032"/>
    <x v="1"/>
    <s v="OFF-AR-10002833"/>
    <x v="1"/>
    <x v="6"/>
    <x v="6"/>
    <x v="6"/>
    <n v="5"/>
  </r>
  <r>
    <n v="8"/>
    <s v="CA-2015-115812"/>
    <x v="3"/>
    <d v="2015-06-14T00:00:00"/>
    <x v="1"/>
    <s v="BH-11710"/>
    <s v="Brosina Hoffman"/>
    <x v="0"/>
    <s v="United States"/>
    <s v="Los Angeles"/>
    <s v="California"/>
    <n v="90032"/>
    <x v="1"/>
    <s v="TEC-PH-10002275"/>
    <x v="2"/>
    <x v="7"/>
    <x v="7"/>
    <x v="7"/>
    <n v="5"/>
  </r>
  <r>
    <n v="9"/>
    <s v="CA-2015-115812"/>
    <x v="3"/>
    <d v="2015-06-14T00:00:00"/>
    <x v="1"/>
    <s v="BH-11710"/>
    <s v="Brosina Hoffman"/>
    <x v="0"/>
    <s v="United States"/>
    <s v="Los Angeles"/>
    <s v="California"/>
    <n v="90032"/>
    <x v="1"/>
    <s v="OFF-BI-10003910"/>
    <x v="1"/>
    <x v="8"/>
    <x v="8"/>
    <x v="8"/>
    <n v="5"/>
  </r>
  <r>
    <n v="10"/>
    <s v="CA-2015-115812"/>
    <x v="3"/>
    <d v="2015-06-14T00:00:00"/>
    <x v="1"/>
    <s v="BH-11710"/>
    <s v="Brosina Hoffman"/>
    <x v="0"/>
    <s v="United States"/>
    <s v="Los Angeles"/>
    <s v="California"/>
    <n v="90032"/>
    <x v="1"/>
    <s v="OFF-AP-10002892"/>
    <x v="1"/>
    <x v="9"/>
    <x v="9"/>
    <x v="9"/>
    <n v="5"/>
  </r>
  <r>
    <n v="11"/>
    <s v="CA-2015-115812"/>
    <x v="3"/>
    <d v="2015-06-14T00:00:00"/>
    <x v="1"/>
    <s v="BH-11710"/>
    <s v="Brosina Hoffman"/>
    <x v="0"/>
    <s v="United States"/>
    <s v="Los Angeles"/>
    <s v="California"/>
    <n v="90032"/>
    <x v="1"/>
    <s v="FUR-TA-10001539"/>
    <x v="0"/>
    <x v="3"/>
    <x v="10"/>
    <x v="10"/>
    <n v="5"/>
  </r>
  <r>
    <n v="12"/>
    <s v="CA-2015-115812"/>
    <x v="3"/>
    <d v="2015-06-14T00:00:00"/>
    <x v="1"/>
    <s v="BH-11710"/>
    <s v="Brosina Hoffman"/>
    <x v="0"/>
    <s v="United States"/>
    <s v="Los Angeles"/>
    <s v="California"/>
    <n v="90032"/>
    <x v="1"/>
    <s v="TEC-PH-10002033"/>
    <x v="2"/>
    <x v="7"/>
    <x v="11"/>
    <x v="11"/>
    <n v="5"/>
  </r>
  <r>
    <n v="13"/>
    <s v="CA-2018-114412"/>
    <x v="4"/>
    <d v="2018-04-20T00:00:00"/>
    <x v="1"/>
    <s v="AA-10480"/>
    <s v="Andrew Allen"/>
    <x v="0"/>
    <s v="United States"/>
    <s v="Concord"/>
    <s v="North Carolina"/>
    <n v="28027"/>
    <x v="0"/>
    <s v="OFF-PA-10002365"/>
    <x v="1"/>
    <x v="10"/>
    <x v="12"/>
    <x v="12"/>
    <n v="5"/>
  </r>
  <r>
    <n v="14"/>
    <s v="CA-2017-161389"/>
    <x v="5"/>
    <d v="2017-12-10T00:00:00"/>
    <x v="1"/>
    <s v="IM-15070"/>
    <s v="Irene Maddox"/>
    <x v="0"/>
    <s v="United States"/>
    <s v="Seattle"/>
    <s v="Washington"/>
    <n v="98103"/>
    <x v="1"/>
    <s v="OFF-BI-10003656"/>
    <x v="1"/>
    <x v="8"/>
    <x v="13"/>
    <x v="13"/>
    <n v="5"/>
  </r>
  <r>
    <n v="15"/>
    <s v="US-2016-118983"/>
    <x v="6"/>
    <d v="2016-11-26T00:00:00"/>
    <x v="1"/>
    <s v="HP-14815"/>
    <s v="Harold Pawlan"/>
    <x v="2"/>
    <s v="United States"/>
    <s v="Fort Worth"/>
    <s v="Texas"/>
    <n v="76106"/>
    <x v="2"/>
    <s v="OFF-AP-10002311"/>
    <x v="1"/>
    <x v="9"/>
    <x v="14"/>
    <x v="14"/>
    <n v="4"/>
  </r>
  <r>
    <n v="16"/>
    <s v="US-2016-118983"/>
    <x v="6"/>
    <d v="2016-11-26T00:00:00"/>
    <x v="1"/>
    <s v="HP-14815"/>
    <s v="Harold Pawlan"/>
    <x v="2"/>
    <s v="United States"/>
    <s v="Fort Worth"/>
    <s v="Texas"/>
    <n v="76106"/>
    <x v="2"/>
    <s v="OFF-BI-10000756"/>
    <x v="1"/>
    <x v="8"/>
    <x v="15"/>
    <x v="15"/>
    <n v="4"/>
  </r>
  <r>
    <n v="17"/>
    <s v="CA-2015-105893"/>
    <x v="7"/>
    <d v="2015-11-18T00:00:00"/>
    <x v="1"/>
    <s v="PK-19075"/>
    <s v="Pete Kriz"/>
    <x v="0"/>
    <s v="United States"/>
    <s v="Madison"/>
    <s v="Wisconsin"/>
    <n v="53711"/>
    <x v="2"/>
    <s v="OFF-ST-10004186"/>
    <x v="1"/>
    <x v="4"/>
    <x v="16"/>
    <x v="16"/>
    <n v="7"/>
  </r>
  <r>
    <n v="18"/>
    <s v="CA-2015-167164"/>
    <x v="8"/>
    <d v="2015-05-15T00:00:00"/>
    <x v="0"/>
    <s v="AG-10270"/>
    <s v="Alejandro Grove"/>
    <x v="0"/>
    <s v="United States"/>
    <s v="West Jordan"/>
    <s v="Utah"/>
    <n v="84084"/>
    <x v="1"/>
    <s v="OFF-ST-10000107"/>
    <x v="1"/>
    <x v="4"/>
    <x v="17"/>
    <x v="17"/>
    <n v="2"/>
  </r>
  <r>
    <n v="19"/>
    <s v="CA-2015-143336"/>
    <x v="9"/>
    <d v="2015-09-01T00:00:00"/>
    <x v="0"/>
    <s v="ZD-21925"/>
    <s v="Zuschuss Donatelli"/>
    <x v="0"/>
    <s v="United States"/>
    <s v="San Francisco"/>
    <s v="California"/>
    <n v="94109"/>
    <x v="1"/>
    <s v="OFF-AR-10003056"/>
    <x v="1"/>
    <x v="6"/>
    <x v="18"/>
    <x v="18"/>
    <n v="5"/>
  </r>
  <r>
    <n v="20"/>
    <s v="CA-2015-143336"/>
    <x v="9"/>
    <d v="2015-09-01T00:00:00"/>
    <x v="0"/>
    <s v="ZD-21925"/>
    <s v="Zuschuss Donatelli"/>
    <x v="0"/>
    <s v="United States"/>
    <s v="San Francisco"/>
    <s v="California"/>
    <n v="94109"/>
    <x v="1"/>
    <s v="TEC-PH-10001949"/>
    <x v="2"/>
    <x v="7"/>
    <x v="19"/>
    <x v="19"/>
    <n v="5"/>
  </r>
  <r>
    <n v="21"/>
    <s v="CA-2015-143336"/>
    <x v="9"/>
    <d v="2015-09-01T00:00:00"/>
    <x v="0"/>
    <s v="ZD-21925"/>
    <s v="Zuschuss Donatelli"/>
    <x v="0"/>
    <s v="United States"/>
    <s v="San Francisco"/>
    <s v="California"/>
    <n v="94109"/>
    <x v="1"/>
    <s v="OFF-BI-10002215"/>
    <x v="1"/>
    <x v="8"/>
    <x v="20"/>
    <x v="20"/>
    <n v="5"/>
  </r>
  <r>
    <n v="22"/>
    <s v="CA-2017-137330"/>
    <x v="10"/>
    <d v="2017-12-13T00:00:00"/>
    <x v="1"/>
    <s v="KB-16585"/>
    <s v="Ken Black"/>
    <x v="1"/>
    <s v="United States"/>
    <s v="Fremont"/>
    <s v="Nebraska"/>
    <n v="68025"/>
    <x v="2"/>
    <s v="OFF-AR-10000246"/>
    <x v="1"/>
    <x v="6"/>
    <x v="21"/>
    <x v="21"/>
    <n v="4"/>
  </r>
  <r>
    <n v="23"/>
    <s v="CA-2017-137330"/>
    <x v="10"/>
    <d v="2017-12-13T00:00:00"/>
    <x v="1"/>
    <s v="KB-16585"/>
    <s v="Ken Black"/>
    <x v="1"/>
    <s v="United States"/>
    <s v="Fremont"/>
    <s v="Nebraska"/>
    <n v="68025"/>
    <x v="2"/>
    <s v="OFF-AP-10001492"/>
    <x v="1"/>
    <x v="9"/>
    <x v="22"/>
    <x v="22"/>
    <n v="4"/>
  </r>
  <r>
    <n v="24"/>
    <s v="US-2018-156909"/>
    <x v="11"/>
    <d v="2018-07-18T00:00:00"/>
    <x v="0"/>
    <s v="SF-20065"/>
    <s v="Sandra Flanagan"/>
    <x v="0"/>
    <s v="United States"/>
    <s v="Philadelphia"/>
    <s v="Pennsylvania"/>
    <n v="19140"/>
    <x v="3"/>
    <s v="FUR-CH-10002774"/>
    <x v="0"/>
    <x v="1"/>
    <x v="23"/>
    <x v="23"/>
    <n v="2"/>
  </r>
  <r>
    <n v="25"/>
    <s v="CA-2016-106320"/>
    <x v="12"/>
    <d v="2016-09-30T00:00:00"/>
    <x v="1"/>
    <s v="EB-13870"/>
    <s v="Emily Burns"/>
    <x v="0"/>
    <s v="United States"/>
    <s v="Orem"/>
    <s v="Utah"/>
    <n v="84057"/>
    <x v="1"/>
    <s v="FUR-TA-10000577"/>
    <x v="0"/>
    <x v="3"/>
    <x v="3"/>
    <x v="24"/>
    <n v="5"/>
  </r>
  <r>
    <n v="26"/>
    <s v="CA-2017-121755"/>
    <x v="13"/>
    <d v="2017-01-20T00:00:00"/>
    <x v="0"/>
    <s v="EH-13945"/>
    <s v="Eric Hoffmann"/>
    <x v="0"/>
    <s v="United States"/>
    <s v="Los Angeles"/>
    <s v="California"/>
    <n v="90049"/>
    <x v="1"/>
    <s v="OFF-BI-10001634"/>
    <x v="1"/>
    <x v="8"/>
    <x v="24"/>
    <x v="25"/>
    <n v="4"/>
  </r>
  <r>
    <n v="27"/>
    <s v="CA-2017-121755"/>
    <x v="13"/>
    <d v="2017-01-20T00:00:00"/>
    <x v="0"/>
    <s v="EH-13945"/>
    <s v="Eric Hoffmann"/>
    <x v="0"/>
    <s v="United States"/>
    <s v="Los Angeles"/>
    <s v="California"/>
    <n v="90049"/>
    <x v="1"/>
    <s v="TEC-AC-10003027"/>
    <x v="2"/>
    <x v="11"/>
    <x v="25"/>
    <x v="26"/>
    <n v="4"/>
  </r>
  <r>
    <n v="28"/>
    <s v="US-2016-150630"/>
    <x v="14"/>
    <d v="2016-09-21T00:00:00"/>
    <x v="1"/>
    <s v="TB-21520"/>
    <s v="Tracy Blumstein"/>
    <x v="0"/>
    <s v="United States"/>
    <s v="Philadelphia"/>
    <s v="Pennsylvania"/>
    <n v="19140"/>
    <x v="3"/>
    <s v="FUR-BO-10004834"/>
    <x v="0"/>
    <x v="0"/>
    <x v="26"/>
    <x v="27"/>
    <n v="4"/>
  </r>
  <r>
    <n v="29"/>
    <s v="US-2016-150630"/>
    <x v="14"/>
    <d v="2016-09-21T00:00:00"/>
    <x v="1"/>
    <s v="TB-21520"/>
    <s v="Tracy Blumstein"/>
    <x v="0"/>
    <s v="United States"/>
    <s v="Philadelphia"/>
    <s v="Pennsylvania"/>
    <n v="19140"/>
    <x v="3"/>
    <s v="OFF-BI-10000474"/>
    <x v="1"/>
    <x v="8"/>
    <x v="27"/>
    <x v="28"/>
    <n v="4"/>
  </r>
  <r>
    <n v="30"/>
    <s v="US-2016-150630"/>
    <x v="14"/>
    <d v="2016-09-21T00:00:00"/>
    <x v="1"/>
    <s v="TB-21520"/>
    <s v="Tracy Blumstein"/>
    <x v="0"/>
    <s v="United States"/>
    <s v="Philadelphia"/>
    <s v="Pennsylvania"/>
    <n v="19140"/>
    <x v="3"/>
    <s v="FUR-FU-10004848"/>
    <x v="0"/>
    <x v="5"/>
    <x v="28"/>
    <x v="29"/>
    <n v="4"/>
  </r>
  <r>
    <n v="31"/>
    <s v="US-2016-150630"/>
    <x v="14"/>
    <d v="2016-09-21T00:00:00"/>
    <x v="1"/>
    <s v="TB-21520"/>
    <s v="Tracy Blumstein"/>
    <x v="0"/>
    <s v="United States"/>
    <s v="Philadelphia"/>
    <s v="Pennsylvania"/>
    <n v="19140"/>
    <x v="3"/>
    <s v="OFF-EN-10001509"/>
    <x v="1"/>
    <x v="12"/>
    <x v="29"/>
    <x v="30"/>
    <n v="4"/>
  </r>
  <r>
    <n v="32"/>
    <s v="US-2016-150630"/>
    <x v="14"/>
    <d v="2016-09-21T00:00:00"/>
    <x v="1"/>
    <s v="TB-21520"/>
    <s v="Tracy Blumstein"/>
    <x v="0"/>
    <s v="United States"/>
    <s v="Philadelphia"/>
    <s v="Pennsylvania"/>
    <n v="19140"/>
    <x v="3"/>
    <s v="OFF-AR-10004042"/>
    <x v="1"/>
    <x v="6"/>
    <x v="30"/>
    <x v="31"/>
    <n v="4"/>
  </r>
  <r>
    <n v="33"/>
    <s v="US-2016-150630"/>
    <x v="14"/>
    <d v="2016-09-21T00:00:00"/>
    <x v="1"/>
    <s v="TB-21520"/>
    <s v="Tracy Blumstein"/>
    <x v="0"/>
    <s v="United States"/>
    <s v="Philadelphia"/>
    <s v="Pennsylvania"/>
    <n v="19140"/>
    <x v="3"/>
    <s v="OFF-BI-10001525"/>
    <x v="1"/>
    <x v="8"/>
    <x v="31"/>
    <x v="32"/>
    <n v="4"/>
  </r>
  <r>
    <n v="34"/>
    <s v="US-2016-150630"/>
    <x v="14"/>
    <d v="2016-09-21T00:00:00"/>
    <x v="1"/>
    <s v="TB-21520"/>
    <s v="Tracy Blumstein"/>
    <x v="0"/>
    <s v="United States"/>
    <s v="Philadelphia"/>
    <s v="Pennsylvania"/>
    <n v="19140"/>
    <x v="3"/>
    <s v="OFF-AR-10001683"/>
    <x v="1"/>
    <x v="6"/>
    <x v="32"/>
    <x v="33"/>
    <n v="4"/>
  </r>
  <r>
    <n v="35"/>
    <s v="CA-2018-107727"/>
    <x v="15"/>
    <d v="2018-10-23T00:00:00"/>
    <x v="0"/>
    <s v="MA-17560"/>
    <s v="Matt Abelman"/>
    <x v="2"/>
    <s v="United States"/>
    <s v="Houston"/>
    <s v="Texas"/>
    <n v="77095"/>
    <x v="2"/>
    <s v="OFF-PA-10000249"/>
    <x v="1"/>
    <x v="10"/>
    <x v="33"/>
    <x v="34"/>
    <n v="4"/>
  </r>
  <r>
    <n v="36"/>
    <s v="CA-2017-117590"/>
    <x v="16"/>
    <d v="2017-12-10T00:00:00"/>
    <x v="2"/>
    <s v="GH-14485"/>
    <s v="Gene Hale"/>
    <x v="1"/>
    <s v="United States"/>
    <s v="Richardson"/>
    <s v="Texas"/>
    <n v="75080"/>
    <x v="2"/>
    <s v="TEC-PH-10004977"/>
    <x v="2"/>
    <x v="7"/>
    <x v="34"/>
    <x v="35"/>
    <n v="2"/>
  </r>
  <r>
    <n v="37"/>
    <s v="CA-2017-117590"/>
    <x v="16"/>
    <d v="2017-12-10T00:00:00"/>
    <x v="2"/>
    <s v="GH-14485"/>
    <s v="Gene Hale"/>
    <x v="1"/>
    <s v="United States"/>
    <s v="Richardson"/>
    <s v="Texas"/>
    <n v="75080"/>
    <x v="2"/>
    <s v="FUR-FU-10003664"/>
    <x v="0"/>
    <x v="5"/>
    <x v="35"/>
    <x v="36"/>
    <n v="2"/>
  </r>
  <r>
    <n v="38"/>
    <s v="CA-2016-117415"/>
    <x v="17"/>
    <d v="2016-12-31T00:00:00"/>
    <x v="1"/>
    <s v="SN-20710"/>
    <s v="Steve Nguyen"/>
    <x v="2"/>
    <s v="United States"/>
    <s v="Houston"/>
    <s v="Texas"/>
    <n v="77041"/>
    <x v="2"/>
    <s v="OFF-EN-10002986"/>
    <x v="1"/>
    <x v="12"/>
    <x v="36"/>
    <x v="37"/>
    <n v="4"/>
  </r>
  <r>
    <n v="39"/>
    <s v="CA-2016-117415"/>
    <x v="17"/>
    <d v="2016-12-31T00:00:00"/>
    <x v="1"/>
    <s v="SN-20710"/>
    <s v="Steve Nguyen"/>
    <x v="2"/>
    <s v="United States"/>
    <s v="Houston"/>
    <s v="Texas"/>
    <n v="77041"/>
    <x v="2"/>
    <s v="FUR-BO-10002545"/>
    <x v="0"/>
    <x v="0"/>
    <x v="37"/>
    <x v="38"/>
    <n v="4"/>
  </r>
  <r>
    <n v="40"/>
    <s v="CA-2016-117415"/>
    <x v="17"/>
    <d v="2016-12-31T00:00:00"/>
    <x v="1"/>
    <s v="SN-20710"/>
    <s v="Steve Nguyen"/>
    <x v="2"/>
    <s v="United States"/>
    <s v="Houston"/>
    <s v="Texas"/>
    <n v="77041"/>
    <x v="2"/>
    <s v="FUR-CH-10004218"/>
    <x v="0"/>
    <x v="1"/>
    <x v="38"/>
    <x v="39"/>
    <n v="4"/>
  </r>
  <r>
    <n v="41"/>
    <s v="CA-2016-117415"/>
    <x v="17"/>
    <d v="2016-12-31T00:00:00"/>
    <x v="1"/>
    <s v="SN-20710"/>
    <s v="Steve Nguyen"/>
    <x v="2"/>
    <s v="United States"/>
    <s v="Houston"/>
    <s v="Texas"/>
    <n v="77041"/>
    <x v="2"/>
    <s v="TEC-PH-10000486"/>
    <x v="2"/>
    <x v="7"/>
    <x v="39"/>
    <x v="40"/>
    <n v="4"/>
  </r>
  <r>
    <n v="42"/>
    <s v="CA-2018-120999"/>
    <x v="18"/>
    <d v="2018-09-15T00:00:00"/>
    <x v="1"/>
    <s v="LC-16930"/>
    <s v="Linda Cazamias"/>
    <x v="1"/>
    <s v="United States"/>
    <s v="Naperville"/>
    <s v="Illinois"/>
    <n v="60540"/>
    <x v="2"/>
    <s v="TEC-PH-10004093"/>
    <x v="2"/>
    <x v="7"/>
    <x v="40"/>
    <x v="41"/>
    <n v="5"/>
  </r>
  <r>
    <n v="43"/>
    <s v="CA-2017-101343"/>
    <x v="19"/>
    <d v="2017-07-22T00:00:00"/>
    <x v="1"/>
    <s v="RA-19885"/>
    <s v="Ruben Ausman"/>
    <x v="1"/>
    <s v="United States"/>
    <s v="Los Angeles"/>
    <s v="California"/>
    <n v="90049"/>
    <x v="1"/>
    <s v="OFF-ST-10003479"/>
    <x v="1"/>
    <x v="4"/>
    <x v="41"/>
    <x v="42"/>
    <n v="5"/>
  </r>
  <r>
    <n v="44"/>
    <s v="CA-2018-139619"/>
    <x v="20"/>
    <d v="2018-09-23T00:00:00"/>
    <x v="1"/>
    <s v="ES-14080"/>
    <s v="Erin Smith"/>
    <x v="1"/>
    <s v="United States"/>
    <s v="Melbourne"/>
    <s v="Florida"/>
    <n v="32935"/>
    <x v="0"/>
    <s v="OFF-ST-10003282"/>
    <x v="1"/>
    <x v="4"/>
    <x v="42"/>
    <x v="43"/>
    <n v="4"/>
  </r>
  <r>
    <n v="45"/>
    <s v="CA-2017-118255"/>
    <x v="21"/>
    <d v="2017-03-13T00:00:00"/>
    <x v="2"/>
    <s v="ON-18715"/>
    <s v="Odella Nelson"/>
    <x v="1"/>
    <s v="United States"/>
    <s v="Eagan"/>
    <s v="Minnesota"/>
    <n v="55122"/>
    <x v="2"/>
    <s v="TEC-AC-10000171"/>
    <x v="2"/>
    <x v="11"/>
    <x v="43"/>
    <x v="44"/>
    <n v="2"/>
  </r>
  <r>
    <n v="46"/>
    <s v="CA-2017-118255"/>
    <x v="21"/>
    <d v="2017-03-13T00:00:00"/>
    <x v="2"/>
    <s v="ON-18715"/>
    <s v="Odella Nelson"/>
    <x v="1"/>
    <s v="United States"/>
    <s v="Eagan"/>
    <s v="Minnesota"/>
    <n v="55122"/>
    <x v="2"/>
    <s v="OFF-BI-10003291"/>
    <x v="1"/>
    <x v="8"/>
    <x v="44"/>
    <x v="45"/>
    <n v="2"/>
  </r>
  <r>
    <n v="47"/>
    <s v="CA-2015-146703"/>
    <x v="22"/>
    <d v="2015-10-25T00:00:00"/>
    <x v="0"/>
    <s v="PO-18865"/>
    <s v="Patrick O'Donnell"/>
    <x v="0"/>
    <s v="United States"/>
    <s v="Westland"/>
    <s v="Michigan"/>
    <n v="48185"/>
    <x v="2"/>
    <s v="OFF-ST-10001713"/>
    <x v="1"/>
    <x v="4"/>
    <x v="45"/>
    <x v="46"/>
    <n v="5"/>
  </r>
  <r>
    <n v="48"/>
    <s v="CA-2017-169194"/>
    <x v="23"/>
    <d v="2017-06-25T00:00:00"/>
    <x v="1"/>
    <s v="LH-16900"/>
    <s v="Lena Hernandez"/>
    <x v="0"/>
    <s v="United States"/>
    <s v="Dover"/>
    <s v="Delaware"/>
    <n v="19901"/>
    <x v="3"/>
    <s v="TEC-AC-10002167"/>
    <x v="2"/>
    <x v="11"/>
    <x v="46"/>
    <x v="47"/>
    <n v="5"/>
  </r>
  <r>
    <n v="49"/>
    <s v="CA-2017-169194"/>
    <x v="23"/>
    <d v="2017-06-25T00:00:00"/>
    <x v="1"/>
    <s v="LH-16900"/>
    <s v="Lena Hernandez"/>
    <x v="0"/>
    <s v="United States"/>
    <s v="Dover"/>
    <s v="Delaware"/>
    <n v="19901"/>
    <x v="3"/>
    <s v="TEC-PH-10003988"/>
    <x v="2"/>
    <x v="7"/>
    <x v="47"/>
    <x v="48"/>
    <n v="5"/>
  </r>
  <r>
    <n v="50"/>
    <s v="CA-2016-115742"/>
    <x v="24"/>
    <d v="2016-04-22T00:00:00"/>
    <x v="1"/>
    <s v="DP-13000"/>
    <s v="Darren Powers"/>
    <x v="0"/>
    <s v="United States"/>
    <s v="New Albany"/>
    <s v="Indiana"/>
    <n v="47150"/>
    <x v="2"/>
    <s v="OFF-BI-10004410"/>
    <x v="1"/>
    <x v="8"/>
    <x v="48"/>
    <x v="49"/>
    <n v="4"/>
  </r>
  <r>
    <n v="51"/>
    <s v="CA-2016-115742"/>
    <x v="24"/>
    <d v="2016-04-22T00:00:00"/>
    <x v="1"/>
    <s v="DP-13000"/>
    <s v="Darren Powers"/>
    <x v="0"/>
    <s v="United States"/>
    <s v="New Albany"/>
    <s v="Indiana"/>
    <n v="47150"/>
    <x v="2"/>
    <s v="OFF-LA-10002762"/>
    <x v="1"/>
    <x v="2"/>
    <x v="49"/>
    <x v="50"/>
    <n v="4"/>
  </r>
  <r>
    <n v="52"/>
    <s v="CA-2016-115742"/>
    <x v="24"/>
    <d v="2016-04-22T00:00:00"/>
    <x v="1"/>
    <s v="DP-13000"/>
    <s v="Darren Powers"/>
    <x v="0"/>
    <s v="United States"/>
    <s v="New Albany"/>
    <s v="Indiana"/>
    <n v="47150"/>
    <x v="2"/>
    <s v="FUR-FU-10001706"/>
    <x v="0"/>
    <x v="5"/>
    <x v="50"/>
    <x v="51"/>
    <n v="4"/>
  </r>
  <r>
    <n v="53"/>
    <s v="CA-2016-115742"/>
    <x v="24"/>
    <d v="2016-04-22T00:00:00"/>
    <x v="1"/>
    <s v="DP-13000"/>
    <s v="Darren Powers"/>
    <x v="0"/>
    <s v="United States"/>
    <s v="New Albany"/>
    <s v="Indiana"/>
    <n v="47150"/>
    <x v="2"/>
    <s v="FUR-CH-10003061"/>
    <x v="0"/>
    <x v="1"/>
    <x v="51"/>
    <x v="52"/>
    <n v="4"/>
  </r>
  <r>
    <n v="54"/>
    <s v="CA-2017-105816"/>
    <x v="25"/>
    <d v="2017-12-17T00:00:00"/>
    <x v="1"/>
    <s v="JM-15265"/>
    <s v="Janet Molinari"/>
    <x v="1"/>
    <s v="United States"/>
    <s v="New York City"/>
    <s v="New York"/>
    <n v="10024"/>
    <x v="3"/>
    <s v="OFF-FA-10000304"/>
    <x v="1"/>
    <x v="13"/>
    <x v="52"/>
    <x v="53"/>
    <n v="6"/>
  </r>
  <r>
    <n v="55"/>
    <s v="CA-2017-105816"/>
    <x v="25"/>
    <d v="2017-12-17T00:00:00"/>
    <x v="1"/>
    <s v="JM-15265"/>
    <s v="Janet Molinari"/>
    <x v="1"/>
    <s v="United States"/>
    <s v="New York City"/>
    <s v="New York"/>
    <n v="10024"/>
    <x v="3"/>
    <s v="TEC-PH-10002447"/>
    <x v="2"/>
    <x v="7"/>
    <x v="53"/>
    <x v="54"/>
    <n v="6"/>
  </r>
  <r>
    <n v="56"/>
    <s v="CA-2017-111682"/>
    <x v="26"/>
    <d v="2017-06-18T00:00:00"/>
    <x v="2"/>
    <s v="TB-21055"/>
    <s v="Ted Butterfield"/>
    <x v="0"/>
    <s v="United States"/>
    <s v="Troy"/>
    <s v="New York"/>
    <n v="12180"/>
    <x v="3"/>
    <s v="OFF-ST-10000604"/>
    <x v="1"/>
    <x v="4"/>
    <x v="54"/>
    <x v="55"/>
    <n v="1"/>
  </r>
  <r>
    <n v="57"/>
    <s v="CA-2017-111682"/>
    <x v="26"/>
    <d v="2017-06-18T00:00:00"/>
    <x v="2"/>
    <s v="TB-21055"/>
    <s v="Ted Butterfield"/>
    <x v="0"/>
    <s v="United States"/>
    <s v="Troy"/>
    <s v="New York"/>
    <n v="12180"/>
    <x v="3"/>
    <s v="OFF-PA-10001569"/>
    <x v="1"/>
    <x v="10"/>
    <x v="55"/>
    <x v="56"/>
    <n v="1"/>
  </r>
  <r>
    <n v="58"/>
    <s v="CA-2017-111682"/>
    <x v="26"/>
    <d v="2017-06-18T00:00:00"/>
    <x v="2"/>
    <s v="TB-21055"/>
    <s v="Ted Butterfield"/>
    <x v="0"/>
    <s v="United States"/>
    <s v="Troy"/>
    <s v="New York"/>
    <n v="12180"/>
    <x v="3"/>
    <s v="FUR-CH-10003968"/>
    <x v="0"/>
    <x v="1"/>
    <x v="56"/>
    <x v="57"/>
    <n v="1"/>
  </r>
  <r>
    <n v="59"/>
    <s v="CA-2017-111682"/>
    <x v="26"/>
    <d v="2017-06-18T00:00:00"/>
    <x v="2"/>
    <s v="TB-21055"/>
    <s v="Ted Butterfield"/>
    <x v="0"/>
    <s v="United States"/>
    <s v="Troy"/>
    <s v="New York"/>
    <n v="12180"/>
    <x v="3"/>
    <s v="OFF-PA-10000587"/>
    <x v="1"/>
    <x v="10"/>
    <x v="57"/>
    <x v="58"/>
    <n v="1"/>
  </r>
  <r>
    <n v="60"/>
    <s v="CA-2017-111682"/>
    <x v="26"/>
    <d v="2017-06-18T00:00:00"/>
    <x v="2"/>
    <s v="TB-21055"/>
    <s v="Ted Butterfield"/>
    <x v="0"/>
    <s v="United States"/>
    <s v="Troy"/>
    <s v="New York"/>
    <n v="12180"/>
    <x v="3"/>
    <s v="TEC-AC-10002167"/>
    <x v="2"/>
    <x v="11"/>
    <x v="46"/>
    <x v="59"/>
    <n v="1"/>
  </r>
  <r>
    <n v="61"/>
    <s v="CA-2017-111682"/>
    <x v="26"/>
    <d v="2017-06-18T00:00:00"/>
    <x v="2"/>
    <s v="TB-21055"/>
    <s v="Ted Butterfield"/>
    <x v="0"/>
    <s v="United States"/>
    <s v="Troy"/>
    <s v="New York"/>
    <n v="12180"/>
    <x v="3"/>
    <s v="OFF-BI-10001460"/>
    <x v="1"/>
    <x v="8"/>
    <x v="58"/>
    <x v="60"/>
    <n v="1"/>
  </r>
  <r>
    <n v="62"/>
    <s v="CA-2017-111682"/>
    <x v="26"/>
    <d v="2017-06-18T00:00:00"/>
    <x v="2"/>
    <s v="TB-21055"/>
    <s v="Ted Butterfield"/>
    <x v="0"/>
    <s v="United States"/>
    <s v="Troy"/>
    <s v="New York"/>
    <n v="12180"/>
    <x v="3"/>
    <s v="OFF-AR-10001868"/>
    <x v="1"/>
    <x v="6"/>
    <x v="59"/>
    <x v="61"/>
    <n v="1"/>
  </r>
  <r>
    <n v="63"/>
    <s v="CA-2016-135545"/>
    <x v="27"/>
    <d v="2016-11-30T00:00:00"/>
    <x v="1"/>
    <s v="KM-16720"/>
    <s v="Kunst Miller"/>
    <x v="0"/>
    <s v="United States"/>
    <s v="Los Angeles"/>
    <s v="California"/>
    <n v="90004"/>
    <x v="1"/>
    <s v="TEC-AC-10004633"/>
    <x v="2"/>
    <x v="11"/>
    <x v="60"/>
    <x v="62"/>
    <n v="6"/>
  </r>
  <r>
    <n v="64"/>
    <s v="CA-2016-135545"/>
    <x v="27"/>
    <d v="2016-11-30T00:00:00"/>
    <x v="1"/>
    <s v="KM-16720"/>
    <s v="Kunst Miller"/>
    <x v="0"/>
    <s v="United States"/>
    <s v="Los Angeles"/>
    <s v="California"/>
    <n v="90004"/>
    <x v="1"/>
    <s v="OFF-BI-10001078"/>
    <x v="1"/>
    <x v="8"/>
    <x v="61"/>
    <x v="63"/>
    <n v="6"/>
  </r>
  <r>
    <n v="65"/>
    <s v="CA-2016-135545"/>
    <x v="27"/>
    <d v="2016-11-30T00:00:00"/>
    <x v="1"/>
    <s v="KM-16720"/>
    <s v="Kunst Miller"/>
    <x v="0"/>
    <s v="United States"/>
    <s v="Los Angeles"/>
    <s v="California"/>
    <n v="90004"/>
    <x v="1"/>
    <s v="OFF-PA-10003892"/>
    <x v="1"/>
    <x v="10"/>
    <x v="62"/>
    <x v="64"/>
    <n v="6"/>
  </r>
  <r>
    <n v="66"/>
    <s v="CA-2016-135545"/>
    <x v="27"/>
    <d v="2016-11-30T00:00:00"/>
    <x v="1"/>
    <s v="KM-16720"/>
    <s v="Kunst Miller"/>
    <x v="0"/>
    <s v="United States"/>
    <s v="Los Angeles"/>
    <s v="California"/>
    <n v="90004"/>
    <x v="1"/>
    <s v="FUR-FU-10000397"/>
    <x v="0"/>
    <x v="5"/>
    <x v="63"/>
    <x v="65"/>
    <n v="6"/>
  </r>
  <r>
    <n v="67"/>
    <s v="US-2016-164175"/>
    <x v="28"/>
    <d v="2016-05-05T00:00:00"/>
    <x v="1"/>
    <s v="PS-18970"/>
    <s v="Paul Stevenson"/>
    <x v="2"/>
    <s v="United States"/>
    <s v="Chicago"/>
    <s v="Illinois"/>
    <n v="60610"/>
    <x v="2"/>
    <s v="FUR-CH-10001146"/>
    <x v="0"/>
    <x v="1"/>
    <x v="64"/>
    <x v="66"/>
    <n v="5"/>
  </r>
  <r>
    <n v="68"/>
    <s v="CA-2015-106376"/>
    <x v="29"/>
    <d v="2015-12-10T00:00:00"/>
    <x v="1"/>
    <s v="BS-11590"/>
    <s v="Brendan Sweed"/>
    <x v="1"/>
    <s v="United States"/>
    <s v="Gilbert"/>
    <s v="Arizona"/>
    <n v="85234"/>
    <x v="1"/>
    <s v="OFF-AR-10002671"/>
    <x v="1"/>
    <x v="6"/>
    <x v="65"/>
    <x v="67"/>
    <n v="5"/>
  </r>
  <r>
    <n v="69"/>
    <s v="CA-2015-106376"/>
    <x v="29"/>
    <d v="2015-12-10T00:00:00"/>
    <x v="1"/>
    <s v="BS-11590"/>
    <s v="Brendan Sweed"/>
    <x v="1"/>
    <s v="United States"/>
    <s v="Gilbert"/>
    <s v="Arizona"/>
    <n v="85234"/>
    <x v="1"/>
    <s v="TEC-PH-10002726"/>
    <x v="2"/>
    <x v="7"/>
    <x v="66"/>
    <x v="68"/>
    <n v="5"/>
  </r>
  <r>
    <n v="70"/>
    <s v="CA-2017-119823"/>
    <x v="30"/>
    <d v="2017-06-06T00:00:00"/>
    <x v="2"/>
    <s v="KD-16270"/>
    <s v="Karen Daniels"/>
    <x v="0"/>
    <s v="United States"/>
    <s v="Springfield"/>
    <s v="Virginia"/>
    <n v="22153"/>
    <x v="0"/>
    <s v="OFF-PA-10000482"/>
    <x v="1"/>
    <x v="10"/>
    <x v="67"/>
    <x v="69"/>
    <n v="2"/>
  </r>
  <r>
    <n v="71"/>
    <s v="CA-2017-106075"/>
    <x v="31"/>
    <d v="2017-09-23T00:00:00"/>
    <x v="1"/>
    <s v="HM-14980"/>
    <s v="Henry MacAllister"/>
    <x v="0"/>
    <s v="United States"/>
    <s v="New York City"/>
    <s v="New York"/>
    <n v="10009"/>
    <x v="3"/>
    <s v="OFF-BI-10004654"/>
    <x v="1"/>
    <x v="8"/>
    <x v="68"/>
    <x v="70"/>
    <n v="5"/>
  </r>
  <r>
    <n v="72"/>
    <s v="CA-2018-114440"/>
    <x v="32"/>
    <d v="2018-09-17T00:00:00"/>
    <x v="0"/>
    <s v="TB-21520"/>
    <s v="Tracy Blumstein"/>
    <x v="0"/>
    <s v="United States"/>
    <s v="Jackson"/>
    <s v="Michigan"/>
    <n v="49201"/>
    <x v="2"/>
    <s v="OFF-PA-10004675"/>
    <x v="1"/>
    <x v="10"/>
    <x v="69"/>
    <x v="71"/>
    <n v="3"/>
  </r>
  <r>
    <n v="73"/>
    <s v="US-2016-134026"/>
    <x v="33"/>
    <d v="2016-05-02T00:00:00"/>
    <x v="1"/>
    <s v="JE-15745"/>
    <s v="Joel Eaton"/>
    <x v="0"/>
    <s v="United States"/>
    <s v="Memphis"/>
    <s v="Tennessee"/>
    <n v="38109"/>
    <x v="0"/>
    <s v="FUR-CH-10000513"/>
    <x v="0"/>
    <x v="1"/>
    <x v="70"/>
    <x v="72"/>
    <n v="6"/>
  </r>
  <r>
    <n v="74"/>
    <s v="US-2016-134026"/>
    <x v="33"/>
    <d v="2016-05-02T00:00:00"/>
    <x v="1"/>
    <s v="JE-15745"/>
    <s v="Joel Eaton"/>
    <x v="0"/>
    <s v="United States"/>
    <s v="Memphis"/>
    <s v="Tennessee"/>
    <n v="38109"/>
    <x v="0"/>
    <s v="FUR-FU-10003708"/>
    <x v="0"/>
    <x v="5"/>
    <x v="71"/>
    <x v="73"/>
    <n v="6"/>
  </r>
  <r>
    <n v="75"/>
    <s v="US-2016-134026"/>
    <x v="33"/>
    <d v="2016-05-02T00:00:00"/>
    <x v="1"/>
    <s v="JE-15745"/>
    <s v="Joel Eaton"/>
    <x v="0"/>
    <s v="United States"/>
    <s v="Memphis"/>
    <s v="Tennessee"/>
    <n v="38109"/>
    <x v="0"/>
    <s v="OFF-ST-10004123"/>
    <x v="1"/>
    <x v="4"/>
    <x v="72"/>
    <x v="74"/>
    <n v="6"/>
  </r>
  <r>
    <n v="76"/>
    <s v="US-2018-118038"/>
    <x v="34"/>
    <d v="2018-12-11T00:00:00"/>
    <x v="2"/>
    <s v="KB-16600"/>
    <s v="Ken Brennan"/>
    <x v="1"/>
    <s v="United States"/>
    <s v="Houston"/>
    <s v="Texas"/>
    <n v="77041"/>
    <x v="2"/>
    <s v="OFF-BI-10004182"/>
    <x v="1"/>
    <x v="8"/>
    <x v="73"/>
    <x v="75"/>
    <n v="2"/>
  </r>
  <r>
    <n v="77"/>
    <s v="US-2018-118038"/>
    <x v="34"/>
    <d v="2018-12-11T00:00:00"/>
    <x v="2"/>
    <s v="KB-16600"/>
    <s v="Ken Brennan"/>
    <x v="1"/>
    <s v="United States"/>
    <s v="Houston"/>
    <s v="Texas"/>
    <n v="77041"/>
    <x v="2"/>
    <s v="FUR-FU-10000260"/>
    <x v="0"/>
    <x v="5"/>
    <x v="74"/>
    <x v="76"/>
    <n v="2"/>
  </r>
  <r>
    <n v="78"/>
    <s v="US-2018-118038"/>
    <x v="34"/>
    <d v="2018-12-11T00:00:00"/>
    <x v="2"/>
    <s v="KB-16600"/>
    <s v="Ken Brennan"/>
    <x v="1"/>
    <s v="United States"/>
    <s v="Houston"/>
    <s v="Texas"/>
    <n v="77041"/>
    <x v="2"/>
    <s v="OFF-ST-10000615"/>
    <x v="1"/>
    <x v="4"/>
    <x v="75"/>
    <x v="77"/>
    <n v="2"/>
  </r>
  <r>
    <n v="79"/>
    <s v="US-2015-147606"/>
    <x v="35"/>
    <d v="2015-12-01T00:00:00"/>
    <x v="0"/>
    <s v="JE-15745"/>
    <s v="Joel Eaton"/>
    <x v="0"/>
    <s v="United States"/>
    <s v="Houston"/>
    <s v="Texas"/>
    <n v="77070"/>
    <x v="2"/>
    <s v="FUR-FU-10003194"/>
    <x v="0"/>
    <x v="5"/>
    <x v="76"/>
    <x v="78"/>
    <n v="5"/>
  </r>
  <r>
    <n v="80"/>
    <s v="CA-2017-127208"/>
    <x v="1"/>
    <d v="2017-06-15T00:00:00"/>
    <x v="2"/>
    <s v="SC-20770"/>
    <s v="Stewart Carmichael"/>
    <x v="1"/>
    <s v="United States"/>
    <s v="Decatur"/>
    <s v="Alabama"/>
    <n v="35601"/>
    <x v="0"/>
    <s v="OFF-AP-10002118"/>
    <x v="1"/>
    <x v="9"/>
    <x v="77"/>
    <x v="79"/>
    <n v="3"/>
  </r>
  <r>
    <n v="81"/>
    <s v="CA-2017-127208"/>
    <x v="1"/>
    <d v="2017-06-15T00:00:00"/>
    <x v="2"/>
    <s v="SC-20770"/>
    <s v="Stewart Carmichael"/>
    <x v="1"/>
    <s v="United States"/>
    <s v="Decatur"/>
    <s v="Alabama"/>
    <n v="35601"/>
    <x v="0"/>
    <s v="OFF-BI-10002309"/>
    <x v="1"/>
    <x v="8"/>
    <x v="78"/>
    <x v="80"/>
    <n v="3"/>
  </r>
  <r>
    <n v="82"/>
    <s v="CA-2015-139451"/>
    <x v="36"/>
    <d v="2015-10-16T00:00:00"/>
    <x v="1"/>
    <s v="DN-13690"/>
    <s v="Duane Noonan"/>
    <x v="0"/>
    <s v="United States"/>
    <s v="San Francisco"/>
    <s v="California"/>
    <n v="94122"/>
    <x v="1"/>
    <s v="OFF-AR-10002053"/>
    <x v="1"/>
    <x v="6"/>
    <x v="79"/>
    <x v="81"/>
    <n v="4"/>
  </r>
  <r>
    <n v="83"/>
    <s v="CA-2015-139451"/>
    <x v="36"/>
    <d v="2015-10-16T00:00:00"/>
    <x v="1"/>
    <s v="DN-13690"/>
    <s v="Duane Noonan"/>
    <x v="0"/>
    <s v="United States"/>
    <s v="San Francisco"/>
    <s v="California"/>
    <n v="94122"/>
    <x v="1"/>
    <s v="OFF-ST-10002370"/>
    <x v="1"/>
    <x v="4"/>
    <x v="80"/>
    <x v="82"/>
    <n v="4"/>
  </r>
  <r>
    <n v="84"/>
    <s v="CA-2016-149734"/>
    <x v="37"/>
    <d v="2016-09-08T00:00:00"/>
    <x v="1"/>
    <s v="JC-16105"/>
    <s v="Julie Creighton"/>
    <x v="1"/>
    <s v="United States"/>
    <s v="Durham"/>
    <s v="North Carolina"/>
    <n v="27707"/>
    <x v="0"/>
    <s v="OFF-EN-10000927"/>
    <x v="1"/>
    <x v="12"/>
    <x v="81"/>
    <x v="83"/>
    <n v="5"/>
  </r>
  <r>
    <n v="85"/>
    <s v="US-2018-119662"/>
    <x v="38"/>
    <d v="2018-11-16T00:00:00"/>
    <x v="2"/>
    <s v="CS-12400"/>
    <s v="Christopher Schild"/>
    <x v="2"/>
    <s v="United States"/>
    <s v="Chicago"/>
    <s v="Illinois"/>
    <n v="60623"/>
    <x v="2"/>
    <s v="OFF-ST-10003656"/>
    <x v="1"/>
    <x v="4"/>
    <x v="82"/>
    <x v="84"/>
    <n v="3"/>
  </r>
  <r>
    <n v="86"/>
    <s v="CA-2018-140088"/>
    <x v="39"/>
    <d v="2018-05-30T00:00:00"/>
    <x v="0"/>
    <s v="PO-18865"/>
    <s v="Patrick O'Donnell"/>
    <x v="0"/>
    <s v="United States"/>
    <s v="Columbia"/>
    <s v="South Carolina"/>
    <n v="29203"/>
    <x v="0"/>
    <s v="FUR-CH-10000863"/>
    <x v="0"/>
    <x v="1"/>
    <x v="83"/>
    <x v="85"/>
    <n v="2"/>
  </r>
  <r>
    <n v="87"/>
    <s v="CA-2018-155558"/>
    <x v="40"/>
    <d v="2018-11-02T00:00:00"/>
    <x v="1"/>
    <s v="PG-18895"/>
    <s v="Paul Gonzalez"/>
    <x v="0"/>
    <s v="United States"/>
    <s v="Rochester"/>
    <s v="Minnesota"/>
    <n v="55901"/>
    <x v="2"/>
    <s v="TEC-AC-10001998"/>
    <x v="2"/>
    <x v="11"/>
    <x v="84"/>
    <x v="86"/>
    <n v="7"/>
  </r>
  <r>
    <n v="88"/>
    <s v="CA-2018-155558"/>
    <x v="40"/>
    <d v="2018-11-02T00:00:00"/>
    <x v="1"/>
    <s v="PG-18895"/>
    <s v="Paul Gonzalez"/>
    <x v="0"/>
    <s v="United States"/>
    <s v="Rochester"/>
    <s v="Minnesota"/>
    <n v="55901"/>
    <x v="2"/>
    <s v="OFF-LA-10000134"/>
    <x v="1"/>
    <x v="2"/>
    <x v="85"/>
    <x v="51"/>
    <n v="7"/>
  </r>
  <r>
    <n v="89"/>
    <s v="CA-2017-159695"/>
    <x v="41"/>
    <d v="2017-04-10T00:00:00"/>
    <x v="0"/>
    <s v="GM-14455"/>
    <s v="Gary Mitchum"/>
    <x v="2"/>
    <s v="United States"/>
    <s v="Houston"/>
    <s v="Texas"/>
    <n v="77095"/>
    <x v="2"/>
    <s v="OFF-ST-10003442"/>
    <x v="1"/>
    <x v="4"/>
    <x v="86"/>
    <x v="87"/>
    <n v="5"/>
  </r>
  <r>
    <n v="90"/>
    <s v="CA-2017-109806"/>
    <x v="42"/>
    <d v="2017-09-22T00:00:00"/>
    <x v="1"/>
    <s v="JS-15685"/>
    <s v="Jim Sink"/>
    <x v="1"/>
    <s v="United States"/>
    <s v="Los Angeles"/>
    <s v="California"/>
    <n v="90036"/>
    <x v="1"/>
    <s v="OFF-AR-10004930"/>
    <x v="1"/>
    <x v="6"/>
    <x v="87"/>
    <x v="88"/>
    <n v="5"/>
  </r>
  <r>
    <n v="91"/>
    <s v="CA-2017-109806"/>
    <x v="42"/>
    <d v="2017-09-22T00:00:00"/>
    <x v="1"/>
    <s v="JS-15685"/>
    <s v="Jim Sink"/>
    <x v="1"/>
    <s v="United States"/>
    <s v="Los Angeles"/>
    <s v="California"/>
    <n v="90036"/>
    <x v="1"/>
    <s v="TEC-PH-10004093"/>
    <x v="2"/>
    <x v="7"/>
    <x v="40"/>
    <x v="89"/>
    <n v="5"/>
  </r>
  <r>
    <n v="92"/>
    <s v="CA-2017-109806"/>
    <x v="42"/>
    <d v="2017-09-22T00:00:00"/>
    <x v="1"/>
    <s v="JS-15685"/>
    <s v="Jim Sink"/>
    <x v="1"/>
    <s v="United States"/>
    <s v="Los Angeles"/>
    <s v="California"/>
    <n v="90036"/>
    <x v="1"/>
    <s v="OFF-PA-10000304"/>
    <x v="1"/>
    <x v="10"/>
    <x v="88"/>
    <x v="90"/>
    <n v="5"/>
  </r>
  <r>
    <n v="93"/>
    <s v="CA-2016-149587"/>
    <x v="43"/>
    <d v="2016-02-05T00:00:00"/>
    <x v="0"/>
    <s v="KB-16315"/>
    <s v="Karl Braun"/>
    <x v="0"/>
    <s v="United States"/>
    <s v="Minneapolis"/>
    <s v="Minnesota"/>
    <n v="55407"/>
    <x v="2"/>
    <s v="OFF-PA-10003177"/>
    <x v="1"/>
    <x v="10"/>
    <x v="89"/>
    <x v="91"/>
    <n v="5"/>
  </r>
  <r>
    <n v="94"/>
    <s v="CA-2016-149587"/>
    <x v="43"/>
    <d v="2016-02-05T00:00:00"/>
    <x v="0"/>
    <s v="KB-16315"/>
    <s v="Karl Braun"/>
    <x v="0"/>
    <s v="United States"/>
    <s v="Minneapolis"/>
    <s v="Minnesota"/>
    <n v="55407"/>
    <x v="2"/>
    <s v="FUR-FU-10003799"/>
    <x v="0"/>
    <x v="5"/>
    <x v="90"/>
    <x v="92"/>
    <n v="5"/>
  </r>
  <r>
    <n v="95"/>
    <s v="CA-2016-149587"/>
    <x v="43"/>
    <d v="2016-02-05T00:00:00"/>
    <x v="0"/>
    <s v="KB-16315"/>
    <s v="Karl Braun"/>
    <x v="0"/>
    <s v="United States"/>
    <s v="Minneapolis"/>
    <s v="Minnesota"/>
    <n v="55407"/>
    <x v="2"/>
    <s v="OFF-BI-10002852"/>
    <x v="1"/>
    <x v="8"/>
    <x v="91"/>
    <x v="93"/>
    <n v="5"/>
  </r>
  <r>
    <n v="96"/>
    <s v="US-2018-109484"/>
    <x v="44"/>
    <d v="2018-11-12T00:00:00"/>
    <x v="1"/>
    <s v="RB-19705"/>
    <s v="Roger Barcio"/>
    <x v="2"/>
    <s v="United States"/>
    <s v="Portland"/>
    <s v="Oregon"/>
    <n v="97206"/>
    <x v="1"/>
    <s v="OFF-BI-10004738"/>
    <x v="1"/>
    <x v="8"/>
    <x v="92"/>
    <x v="94"/>
    <n v="6"/>
  </r>
  <r>
    <n v="97"/>
    <s v="CA-2018-161018"/>
    <x v="45"/>
    <d v="2018-11-11T00:00:00"/>
    <x v="0"/>
    <s v="PN-18775"/>
    <s v="Parhena Norris"/>
    <x v="2"/>
    <s v="United States"/>
    <s v="New York City"/>
    <s v="New York"/>
    <n v="10009"/>
    <x v="3"/>
    <s v="FUR-FU-10000629"/>
    <x v="0"/>
    <x v="5"/>
    <x v="93"/>
    <x v="95"/>
    <n v="2"/>
  </r>
  <r>
    <n v="98"/>
    <s v="CA-2018-157833"/>
    <x v="46"/>
    <d v="2018-06-20T00:00:00"/>
    <x v="2"/>
    <s v="KD-16345"/>
    <s v="Katherine Ducich"/>
    <x v="0"/>
    <s v="United States"/>
    <s v="San Francisco"/>
    <s v="California"/>
    <n v="94122"/>
    <x v="1"/>
    <s v="OFF-BI-10001721"/>
    <x v="1"/>
    <x v="8"/>
    <x v="94"/>
    <x v="96"/>
    <n v="3"/>
  </r>
  <r>
    <n v="99"/>
    <s v="CA-2017-149223"/>
    <x v="47"/>
    <d v="2017-09-11T00:00:00"/>
    <x v="1"/>
    <s v="ER-13855"/>
    <s v="Elpida Rittenbach"/>
    <x v="1"/>
    <s v="United States"/>
    <s v="Saint Paul"/>
    <s v="Minnesota"/>
    <n v="55106"/>
    <x v="2"/>
    <s v="OFF-AP-10000358"/>
    <x v="1"/>
    <x v="9"/>
    <x v="95"/>
    <x v="42"/>
    <n v="5"/>
  </r>
  <r>
    <n v="100"/>
    <s v="CA-2017-158568"/>
    <x v="48"/>
    <d v="2017-09-02T00:00:00"/>
    <x v="1"/>
    <s v="RB-19465"/>
    <s v="Rick Bensley"/>
    <x v="2"/>
    <s v="United States"/>
    <s v="Chicago"/>
    <s v="Illinois"/>
    <n v="60610"/>
    <x v="2"/>
    <s v="OFF-PA-10003256"/>
    <x v="1"/>
    <x v="10"/>
    <x v="96"/>
    <x v="97"/>
    <n v="4"/>
  </r>
  <r>
    <n v="101"/>
    <s v="CA-2017-158568"/>
    <x v="48"/>
    <d v="2017-09-02T00:00:00"/>
    <x v="1"/>
    <s v="RB-19465"/>
    <s v="Rick Bensley"/>
    <x v="2"/>
    <s v="United States"/>
    <s v="Chicago"/>
    <s v="Illinois"/>
    <n v="60610"/>
    <x v="2"/>
    <s v="TEC-AC-10001767"/>
    <x v="2"/>
    <x v="11"/>
    <x v="97"/>
    <x v="98"/>
    <n v="4"/>
  </r>
  <r>
    <n v="102"/>
    <s v="CA-2017-158568"/>
    <x v="48"/>
    <d v="2017-09-02T00:00:00"/>
    <x v="1"/>
    <s v="RB-19465"/>
    <s v="Rick Bensley"/>
    <x v="2"/>
    <s v="United States"/>
    <s v="Chicago"/>
    <s v="Illinois"/>
    <n v="60610"/>
    <x v="2"/>
    <s v="OFF-BI-10002609"/>
    <x v="1"/>
    <x v="8"/>
    <x v="98"/>
    <x v="99"/>
    <n v="4"/>
  </r>
  <r>
    <n v="103"/>
    <s v="CA-2017-129903"/>
    <x v="49"/>
    <d v="2017-12-04T00:00:00"/>
    <x v="0"/>
    <s v="GZ-14470"/>
    <s v="Gary Zandusky"/>
    <x v="0"/>
    <s v="United States"/>
    <s v="Rochester"/>
    <s v="Minnesota"/>
    <n v="55901"/>
    <x v="2"/>
    <s v="OFF-PA-10004040"/>
    <x v="1"/>
    <x v="10"/>
    <x v="99"/>
    <x v="100"/>
    <n v="3"/>
  </r>
  <r>
    <n v="104"/>
    <s v="US-2016-156867"/>
    <x v="50"/>
    <d v="2016-11-17T00:00:00"/>
    <x v="1"/>
    <s v="LC-16870"/>
    <s v="Lena Cacioppo"/>
    <x v="0"/>
    <s v="United States"/>
    <s v="Aurora"/>
    <s v="Colorado"/>
    <n v="80013"/>
    <x v="1"/>
    <s v="TEC-AC-10001552"/>
    <x v="2"/>
    <x v="11"/>
    <x v="100"/>
    <x v="101"/>
    <n v="4"/>
  </r>
  <r>
    <n v="105"/>
    <s v="US-2016-156867"/>
    <x v="50"/>
    <d v="2016-11-17T00:00:00"/>
    <x v="1"/>
    <s v="LC-16870"/>
    <s v="Lena Cacioppo"/>
    <x v="0"/>
    <s v="United States"/>
    <s v="Aurora"/>
    <s v="Colorado"/>
    <n v="80013"/>
    <x v="1"/>
    <s v="FUR-FU-10004006"/>
    <x v="0"/>
    <x v="5"/>
    <x v="101"/>
    <x v="102"/>
    <n v="4"/>
  </r>
  <r>
    <n v="106"/>
    <s v="US-2016-156867"/>
    <x v="50"/>
    <d v="2016-11-17T00:00:00"/>
    <x v="1"/>
    <s v="LC-16870"/>
    <s v="Lena Cacioppo"/>
    <x v="0"/>
    <s v="United States"/>
    <s v="Aurora"/>
    <s v="Colorado"/>
    <n v="80013"/>
    <x v="1"/>
    <s v="OFF-BI-10002794"/>
    <x v="1"/>
    <x v="8"/>
    <x v="102"/>
    <x v="103"/>
    <n v="4"/>
  </r>
  <r>
    <n v="107"/>
    <s v="CA-2018-119004"/>
    <x v="51"/>
    <d v="2018-11-28T00:00:00"/>
    <x v="1"/>
    <s v="JM-15250"/>
    <s v="Janet Martin"/>
    <x v="0"/>
    <s v="United States"/>
    <s v="Charlotte"/>
    <s v="North Carolina"/>
    <n v="28205"/>
    <x v="0"/>
    <s v="TEC-AC-10003499"/>
    <x v="2"/>
    <x v="11"/>
    <x v="103"/>
    <x v="104"/>
    <n v="5"/>
  </r>
  <r>
    <n v="108"/>
    <s v="CA-2018-119004"/>
    <x v="51"/>
    <d v="2018-11-28T00:00:00"/>
    <x v="1"/>
    <s v="JM-15250"/>
    <s v="Janet Martin"/>
    <x v="0"/>
    <s v="United States"/>
    <s v="Charlotte"/>
    <s v="North Carolina"/>
    <n v="28205"/>
    <x v="0"/>
    <s v="TEC-PH-10002844"/>
    <x v="2"/>
    <x v="7"/>
    <x v="104"/>
    <x v="105"/>
    <n v="5"/>
  </r>
  <r>
    <n v="109"/>
    <s v="CA-2018-119004"/>
    <x v="51"/>
    <d v="2018-11-28T00:00:00"/>
    <x v="1"/>
    <s v="JM-15250"/>
    <s v="Janet Martin"/>
    <x v="0"/>
    <s v="United States"/>
    <s v="Charlotte"/>
    <s v="North Carolina"/>
    <n v="28205"/>
    <x v="0"/>
    <s v="OFF-AR-10000390"/>
    <x v="1"/>
    <x v="6"/>
    <x v="105"/>
    <x v="106"/>
    <n v="5"/>
  </r>
  <r>
    <n v="110"/>
    <s v="CA-2016-129476"/>
    <x v="52"/>
    <d v="2016-10-20T00:00:00"/>
    <x v="1"/>
    <s v="PA-19060"/>
    <s v="Pete Armstrong"/>
    <x v="2"/>
    <s v="United States"/>
    <s v="Orland Park"/>
    <s v="Illinois"/>
    <n v="60462"/>
    <x v="2"/>
    <s v="TEC-AC-10000844"/>
    <x v="2"/>
    <x v="11"/>
    <x v="106"/>
    <x v="107"/>
    <n v="5"/>
  </r>
  <r>
    <n v="111"/>
    <s v="CA-2018-146780"/>
    <x v="53"/>
    <d v="2018-12-30T00:00:00"/>
    <x v="1"/>
    <s v="CV-12805"/>
    <s v="Cynthia Voltz"/>
    <x v="1"/>
    <s v="United States"/>
    <s v="New York City"/>
    <s v="New York"/>
    <n v="10035"/>
    <x v="3"/>
    <s v="FUR-FU-10001934"/>
    <x v="0"/>
    <x v="5"/>
    <x v="107"/>
    <x v="108"/>
    <n v="5"/>
  </r>
  <r>
    <n v="112"/>
    <s v="CA-2017-128867"/>
    <x v="54"/>
    <d v="2017-11-10T00:00:00"/>
    <x v="1"/>
    <s v="CL-12565"/>
    <s v="Clay Ludtke"/>
    <x v="0"/>
    <s v="United States"/>
    <s v="Urbandale"/>
    <s v="Iowa"/>
    <n v="50322"/>
    <x v="2"/>
    <s v="OFF-AR-10000380"/>
    <x v="1"/>
    <x v="6"/>
    <x v="108"/>
    <x v="109"/>
    <n v="7"/>
  </r>
  <r>
    <n v="113"/>
    <s v="CA-2017-128867"/>
    <x v="54"/>
    <d v="2017-11-10T00:00:00"/>
    <x v="1"/>
    <s v="CL-12565"/>
    <s v="Clay Ludtke"/>
    <x v="0"/>
    <s v="United States"/>
    <s v="Urbandale"/>
    <s v="Iowa"/>
    <n v="50322"/>
    <x v="2"/>
    <s v="OFF-BI-10003981"/>
    <x v="1"/>
    <x v="8"/>
    <x v="109"/>
    <x v="77"/>
    <n v="7"/>
  </r>
  <r>
    <n v="114"/>
    <s v="CA-2015-115259"/>
    <x v="55"/>
    <d v="2015-08-27T00:00:00"/>
    <x v="0"/>
    <s v="RC-19960"/>
    <s v="Ryan Crowe"/>
    <x v="0"/>
    <s v="United States"/>
    <s v="Columbus"/>
    <s v="Ohio"/>
    <n v="43229"/>
    <x v="3"/>
    <s v="OFF-FA-10000621"/>
    <x v="1"/>
    <x v="13"/>
    <x v="110"/>
    <x v="110"/>
    <n v="2"/>
  </r>
  <r>
    <n v="115"/>
    <s v="CA-2015-115259"/>
    <x v="55"/>
    <d v="2015-08-27T00:00:00"/>
    <x v="0"/>
    <s v="RC-19960"/>
    <s v="Ryan Crowe"/>
    <x v="0"/>
    <s v="United States"/>
    <s v="Columbus"/>
    <s v="Ohio"/>
    <n v="43229"/>
    <x v="3"/>
    <s v="OFF-EN-10002600"/>
    <x v="1"/>
    <x v="12"/>
    <x v="111"/>
    <x v="111"/>
    <n v="2"/>
  </r>
  <r>
    <n v="116"/>
    <s v="CA-2015-115259"/>
    <x v="55"/>
    <d v="2015-08-27T00:00:00"/>
    <x v="0"/>
    <s v="RC-19960"/>
    <s v="Ryan Crowe"/>
    <x v="0"/>
    <s v="United States"/>
    <s v="Columbus"/>
    <s v="Ohio"/>
    <n v="43229"/>
    <x v="3"/>
    <s v="OFF-PA-10004965"/>
    <x v="1"/>
    <x v="10"/>
    <x v="112"/>
    <x v="112"/>
    <n v="2"/>
  </r>
  <r>
    <n v="117"/>
    <s v="CA-2015-115259"/>
    <x v="55"/>
    <d v="2015-08-27T00:00:00"/>
    <x v="0"/>
    <s v="RC-19960"/>
    <s v="Ryan Crowe"/>
    <x v="0"/>
    <s v="United States"/>
    <s v="Columbus"/>
    <s v="Ohio"/>
    <n v="43229"/>
    <x v="3"/>
    <s v="OFF-EN-10002504"/>
    <x v="1"/>
    <x v="12"/>
    <x v="113"/>
    <x v="113"/>
    <n v="2"/>
  </r>
  <r>
    <n v="118"/>
    <s v="CA-2016-110457"/>
    <x v="56"/>
    <d v="2016-03-06T00:00:00"/>
    <x v="1"/>
    <s v="DK-13090"/>
    <s v="Dave Kipp"/>
    <x v="0"/>
    <s v="United States"/>
    <s v="Seattle"/>
    <s v="Washington"/>
    <n v="98103"/>
    <x v="1"/>
    <s v="FUR-TA-10001768"/>
    <x v="0"/>
    <x v="3"/>
    <x v="114"/>
    <x v="114"/>
    <n v="4"/>
  </r>
  <r>
    <n v="119"/>
    <s v="US-2016-136476"/>
    <x v="57"/>
    <d v="2016-04-10T00:00:00"/>
    <x v="1"/>
    <s v="GG-14650"/>
    <s v="Greg Guthrie"/>
    <x v="1"/>
    <s v="United States"/>
    <s v="Bristol"/>
    <s v="Tennessee"/>
    <n v="37620"/>
    <x v="0"/>
    <s v="OFF-BI-10003650"/>
    <x v="1"/>
    <x v="8"/>
    <x v="115"/>
    <x v="115"/>
    <n v="5"/>
  </r>
  <r>
    <n v="120"/>
    <s v="CA-2017-103730"/>
    <x v="1"/>
    <d v="2017-06-15T00:00:00"/>
    <x v="2"/>
    <s v="SC-20725"/>
    <s v="Steven Cartwright"/>
    <x v="0"/>
    <s v="United States"/>
    <s v="Wilmington"/>
    <s v="Delaware"/>
    <n v="19805"/>
    <x v="3"/>
    <s v="FUR-FU-10002157"/>
    <x v="0"/>
    <x v="5"/>
    <x v="116"/>
    <x v="116"/>
    <n v="3"/>
  </r>
  <r>
    <n v="121"/>
    <s v="CA-2017-103730"/>
    <x v="1"/>
    <d v="2017-06-15T00:00:00"/>
    <x v="2"/>
    <s v="SC-20725"/>
    <s v="Steven Cartwright"/>
    <x v="0"/>
    <s v="United States"/>
    <s v="Wilmington"/>
    <s v="Delaware"/>
    <n v="19805"/>
    <x v="3"/>
    <s v="OFF-BI-10003910"/>
    <x v="1"/>
    <x v="8"/>
    <x v="8"/>
    <x v="117"/>
    <n v="3"/>
  </r>
  <r>
    <n v="122"/>
    <s v="CA-2017-103730"/>
    <x v="1"/>
    <d v="2017-06-15T00:00:00"/>
    <x v="2"/>
    <s v="SC-20725"/>
    <s v="Steven Cartwright"/>
    <x v="0"/>
    <s v="United States"/>
    <s v="Wilmington"/>
    <s v="Delaware"/>
    <n v="19805"/>
    <x v="3"/>
    <s v="OFF-ST-10000777"/>
    <x v="1"/>
    <x v="4"/>
    <x v="117"/>
    <x v="118"/>
    <n v="3"/>
  </r>
  <r>
    <n v="123"/>
    <s v="CA-2017-103730"/>
    <x v="1"/>
    <d v="2017-06-15T00:00:00"/>
    <x v="2"/>
    <s v="SC-20725"/>
    <s v="Steven Cartwright"/>
    <x v="0"/>
    <s v="United States"/>
    <s v="Wilmington"/>
    <s v="Delaware"/>
    <n v="19805"/>
    <x v="3"/>
    <s v="OFF-EN-10002500"/>
    <x v="1"/>
    <x v="12"/>
    <x v="118"/>
    <x v="119"/>
    <n v="3"/>
  </r>
  <r>
    <n v="124"/>
    <s v="CA-2017-103730"/>
    <x v="1"/>
    <d v="2017-06-15T00:00:00"/>
    <x v="2"/>
    <s v="SC-20725"/>
    <s v="Steven Cartwright"/>
    <x v="0"/>
    <s v="United States"/>
    <s v="Wilmington"/>
    <s v="Delaware"/>
    <n v="19805"/>
    <x v="3"/>
    <s v="TEC-PH-10003875"/>
    <x v="2"/>
    <x v="7"/>
    <x v="119"/>
    <x v="120"/>
    <n v="3"/>
  </r>
  <r>
    <n v="125"/>
    <s v="US-2015-152030"/>
    <x v="58"/>
    <d v="2015-12-28T00:00:00"/>
    <x v="0"/>
    <s v="AD-10180"/>
    <s v="Alan Dominguez"/>
    <x v="2"/>
    <s v="United States"/>
    <s v="Houston"/>
    <s v="Texas"/>
    <n v="77041"/>
    <x v="2"/>
    <s v="FUR-CH-10004063"/>
    <x v="0"/>
    <x v="1"/>
    <x v="120"/>
    <x v="121"/>
    <n v="2"/>
  </r>
  <r>
    <n v="126"/>
    <s v="US-2015-134614"/>
    <x v="59"/>
    <d v="2015-09-25T00:00:00"/>
    <x v="1"/>
    <s v="PF-19165"/>
    <s v="Philip Fox"/>
    <x v="0"/>
    <s v="United States"/>
    <s v="Bloomington"/>
    <s v="Illinois"/>
    <n v="61701"/>
    <x v="2"/>
    <s v="FUR-TA-10004534"/>
    <x v="0"/>
    <x v="3"/>
    <x v="121"/>
    <x v="122"/>
    <n v="5"/>
  </r>
  <r>
    <n v="127"/>
    <s v="US-2018-107272"/>
    <x v="60"/>
    <d v="2018-11-12T00:00:00"/>
    <x v="1"/>
    <s v="TS-21610"/>
    <s v="Troy Staebel"/>
    <x v="0"/>
    <s v="United States"/>
    <s v="Phoenix"/>
    <s v="Arizona"/>
    <n v="85023"/>
    <x v="1"/>
    <s v="OFF-BI-10003274"/>
    <x v="1"/>
    <x v="8"/>
    <x v="122"/>
    <x v="123"/>
    <n v="7"/>
  </r>
  <r>
    <n v="128"/>
    <s v="US-2018-107272"/>
    <x v="60"/>
    <d v="2018-11-12T00:00:00"/>
    <x v="1"/>
    <s v="TS-21610"/>
    <s v="Troy Staebel"/>
    <x v="0"/>
    <s v="United States"/>
    <s v="Phoenix"/>
    <s v="Arizona"/>
    <n v="85023"/>
    <x v="1"/>
    <s v="OFF-ST-10002974"/>
    <x v="1"/>
    <x v="4"/>
    <x v="123"/>
    <x v="124"/>
    <n v="7"/>
  </r>
  <r>
    <n v="129"/>
    <s v="US-2017-125969"/>
    <x v="61"/>
    <d v="2017-11-10T00:00:00"/>
    <x v="0"/>
    <s v="LS-16975"/>
    <s v="Lindsay Shagiari"/>
    <x v="2"/>
    <s v="United States"/>
    <s v="Los Angeles"/>
    <s v="California"/>
    <n v="90004"/>
    <x v="1"/>
    <s v="FUR-CH-10001146"/>
    <x v="0"/>
    <x v="1"/>
    <x v="124"/>
    <x v="125"/>
    <n v="4"/>
  </r>
  <r>
    <n v="130"/>
    <s v="US-2017-125969"/>
    <x v="61"/>
    <d v="2017-11-10T00:00:00"/>
    <x v="0"/>
    <s v="LS-16975"/>
    <s v="Lindsay Shagiari"/>
    <x v="2"/>
    <s v="United States"/>
    <s v="Los Angeles"/>
    <s v="California"/>
    <n v="90004"/>
    <x v="1"/>
    <s v="FUR-FU-10003773"/>
    <x v="0"/>
    <x v="5"/>
    <x v="125"/>
    <x v="126"/>
    <n v="4"/>
  </r>
  <r>
    <n v="131"/>
    <s v="US-2018-164147"/>
    <x v="62"/>
    <d v="2018-02-05T00:00:00"/>
    <x v="2"/>
    <s v="DW-13585"/>
    <s v="Dorothy Wardle"/>
    <x v="1"/>
    <s v="United States"/>
    <s v="Columbus"/>
    <s v="Ohio"/>
    <n v="43229"/>
    <x v="3"/>
    <s v="TEC-PH-10002293"/>
    <x v="2"/>
    <x v="7"/>
    <x v="126"/>
    <x v="127"/>
    <n v="3"/>
  </r>
  <r>
    <n v="132"/>
    <s v="US-2018-164147"/>
    <x v="62"/>
    <d v="2018-02-05T00:00:00"/>
    <x v="2"/>
    <s v="DW-13585"/>
    <s v="Dorothy Wardle"/>
    <x v="1"/>
    <s v="United States"/>
    <s v="Columbus"/>
    <s v="Ohio"/>
    <n v="43229"/>
    <x v="3"/>
    <s v="OFF-PA-10002377"/>
    <x v="1"/>
    <x v="10"/>
    <x v="127"/>
    <x v="128"/>
    <n v="3"/>
  </r>
  <r>
    <n v="133"/>
    <s v="US-2018-164147"/>
    <x v="62"/>
    <d v="2018-02-05T00:00:00"/>
    <x v="2"/>
    <s v="DW-13585"/>
    <s v="Dorothy Wardle"/>
    <x v="1"/>
    <s v="United States"/>
    <s v="Columbus"/>
    <s v="Ohio"/>
    <n v="43229"/>
    <x v="3"/>
    <s v="OFF-FA-10002780"/>
    <x v="1"/>
    <x v="13"/>
    <x v="128"/>
    <x v="129"/>
    <n v="3"/>
  </r>
  <r>
    <n v="134"/>
    <s v="CA-2017-145583"/>
    <x v="63"/>
    <d v="2017-10-19T00:00:00"/>
    <x v="1"/>
    <s v="LC-16885"/>
    <s v="Lena Creighton"/>
    <x v="0"/>
    <s v="United States"/>
    <s v="Roseville"/>
    <s v="California"/>
    <n v="95661"/>
    <x v="1"/>
    <s v="OFF-PA-10001804"/>
    <x v="1"/>
    <x v="10"/>
    <x v="129"/>
    <x v="130"/>
    <n v="6"/>
  </r>
  <r>
    <n v="135"/>
    <s v="CA-2017-145583"/>
    <x v="63"/>
    <d v="2017-10-19T00:00:00"/>
    <x v="1"/>
    <s v="LC-16885"/>
    <s v="Lena Creighton"/>
    <x v="0"/>
    <s v="United States"/>
    <s v="Roseville"/>
    <s v="California"/>
    <n v="95661"/>
    <x v="1"/>
    <s v="OFF-PA-10001736"/>
    <x v="1"/>
    <x v="10"/>
    <x v="130"/>
    <x v="131"/>
    <n v="6"/>
  </r>
  <r>
    <n v="136"/>
    <s v="CA-2017-145583"/>
    <x v="63"/>
    <d v="2017-10-19T00:00:00"/>
    <x v="1"/>
    <s v="LC-16885"/>
    <s v="Lena Creighton"/>
    <x v="0"/>
    <s v="United States"/>
    <s v="Roseville"/>
    <s v="California"/>
    <n v="95661"/>
    <x v="1"/>
    <s v="OFF-AR-10001149"/>
    <x v="1"/>
    <x v="6"/>
    <x v="131"/>
    <x v="132"/>
    <n v="6"/>
  </r>
  <r>
    <n v="137"/>
    <s v="CA-2017-145583"/>
    <x v="63"/>
    <d v="2017-10-19T00:00:00"/>
    <x v="1"/>
    <s v="LC-16885"/>
    <s v="Lena Creighton"/>
    <x v="0"/>
    <s v="United States"/>
    <s v="Roseville"/>
    <s v="California"/>
    <n v="95661"/>
    <x v="1"/>
    <s v="OFF-FA-10002988"/>
    <x v="1"/>
    <x v="13"/>
    <x v="132"/>
    <x v="133"/>
    <n v="6"/>
  </r>
  <r>
    <n v="138"/>
    <s v="CA-2017-145583"/>
    <x v="63"/>
    <d v="2017-10-19T00:00:00"/>
    <x v="1"/>
    <s v="LC-16885"/>
    <s v="Lena Creighton"/>
    <x v="0"/>
    <s v="United States"/>
    <s v="Roseville"/>
    <s v="California"/>
    <n v="95661"/>
    <x v="1"/>
    <s v="OFF-BI-10004781"/>
    <x v="1"/>
    <x v="8"/>
    <x v="133"/>
    <x v="134"/>
    <n v="6"/>
  </r>
  <r>
    <n v="139"/>
    <s v="CA-2017-145583"/>
    <x v="63"/>
    <d v="2017-10-19T00:00:00"/>
    <x v="1"/>
    <s v="LC-16885"/>
    <s v="Lena Creighton"/>
    <x v="0"/>
    <s v="United States"/>
    <s v="Roseville"/>
    <s v="California"/>
    <n v="95661"/>
    <x v="1"/>
    <s v="OFF-SU-10001218"/>
    <x v="1"/>
    <x v="14"/>
    <x v="134"/>
    <x v="135"/>
    <n v="6"/>
  </r>
  <r>
    <n v="140"/>
    <s v="CA-2017-145583"/>
    <x v="63"/>
    <d v="2017-10-19T00:00:00"/>
    <x v="1"/>
    <s v="LC-16885"/>
    <s v="Lena Creighton"/>
    <x v="0"/>
    <s v="United States"/>
    <s v="Roseville"/>
    <s v="California"/>
    <n v="95661"/>
    <x v="1"/>
    <s v="FUR-FU-10001706"/>
    <x v="0"/>
    <x v="5"/>
    <x v="50"/>
    <x v="136"/>
    <n v="6"/>
  </r>
  <r>
    <n v="141"/>
    <s v="CA-2017-110366"/>
    <x v="64"/>
    <d v="2017-09-07T00:00:00"/>
    <x v="0"/>
    <s v="JD-15895"/>
    <s v="Jonathan Doherty"/>
    <x v="1"/>
    <s v="United States"/>
    <s v="Philadelphia"/>
    <s v="Pennsylvania"/>
    <n v="19140"/>
    <x v="3"/>
    <s v="FUR-FU-10004848"/>
    <x v="0"/>
    <x v="5"/>
    <x v="28"/>
    <x v="137"/>
    <n v="2"/>
  </r>
  <r>
    <n v="142"/>
    <s v="CA-2018-106180"/>
    <x v="65"/>
    <d v="2018-09-23T00:00:00"/>
    <x v="1"/>
    <s v="SH-19975"/>
    <s v="Sally Hughsby"/>
    <x v="1"/>
    <s v="United States"/>
    <s v="San Francisco"/>
    <s v="California"/>
    <n v="94122"/>
    <x v="1"/>
    <s v="OFF-AR-10000940"/>
    <x v="1"/>
    <x v="6"/>
    <x v="135"/>
    <x v="138"/>
    <n v="5"/>
  </r>
  <r>
    <n v="143"/>
    <s v="CA-2018-106180"/>
    <x v="65"/>
    <d v="2018-09-23T00:00:00"/>
    <x v="1"/>
    <s v="SH-19975"/>
    <s v="Sally Hughsby"/>
    <x v="1"/>
    <s v="United States"/>
    <s v="San Francisco"/>
    <s v="California"/>
    <n v="94122"/>
    <x v="1"/>
    <s v="OFF-EN-10004030"/>
    <x v="1"/>
    <x v="12"/>
    <x v="136"/>
    <x v="139"/>
    <n v="5"/>
  </r>
  <r>
    <n v="144"/>
    <s v="CA-2018-106180"/>
    <x v="65"/>
    <d v="2018-09-23T00:00:00"/>
    <x v="1"/>
    <s v="SH-19975"/>
    <s v="Sally Hughsby"/>
    <x v="1"/>
    <s v="United States"/>
    <s v="San Francisco"/>
    <s v="California"/>
    <n v="94122"/>
    <x v="1"/>
    <s v="OFF-PA-10004327"/>
    <x v="1"/>
    <x v="10"/>
    <x v="137"/>
    <x v="140"/>
    <n v="5"/>
  </r>
  <r>
    <n v="145"/>
    <s v="CA-2018-155376"/>
    <x v="66"/>
    <d v="2018-12-27T00:00:00"/>
    <x v="1"/>
    <s v="SG-20080"/>
    <s v="Sandra Glassco"/>
    <x v="0"/>
    <s v="United States"/>
    <s v="Independence"/>
    <s v="Missouri"/>
    <n v="64055"/>
    <x v="2"/>
    <s v="OFF-AP-10001058"/>
    <x v="1"/>
    <x v="9"/>
    <x v="138"/>
    <x v="141"/>
    <n v="5"/>
  </r>
  <r>
    <n v="146"/>
    <s v="CA-2016-110744"/>
    <x v="67"/>
    <d v="2016-09-12T00:00:00"/>
    <x v="1"/>
    <s v="HA-14920"/>
    <s v="Helen Andreada"/>
    <x v="0"/>
    <s v="United States"/>
    <s v="Pasadena"/>
    <s v="California"/>
    <n v="91104"/>
    <x v="1"/>
    <s v="OFF-ST-10003656"/>
    <x v="1"/>
    <x v="4"/>
    <x v="82"/>
    <x v="142"/>
    <n v="5"/>
  </r>
  <r>
    <n v="147"/>
    <s v="CA-2015-110072"/>
    <x v="68"/>
    <d v="2015-10-28T00:00:00"/>
    <x v="1"/>
    <s v="MG-17680"/>
    <s v="Maureen Gastineau"/>
    <x v="2"/>
    <s v="United States"/>
    <s v="Newark"/>
    <s v="Ohio"/>
    <n v="43055"/>
    <x v="3"/>
    <s v="FUR-FU-10000521"/>
    <x v="0"/>
    <x v="5"/>
    <x v="139"/>
    <x v="143"/>
    <n v="6"/>
  </r>
  <r>
    <n v="148"/>
    <s v="CA-2017-114489"/>
    <x v="5"/>
    <d v="2017-12-09T00:00:00"/>
    <x v="1"/>
    <s v="JE-16165"/>
    <s v="Justin Ellison"/>
    <x v="1"/>
    <s v="United States"/>
    <s v="Franklin"/>
    <s v="Wisconsin"/>
    <n v="53132"/>
    <x v="2"/>
    <s v="TEC-PH-10000215"/>
    <x v="2"/>
    <x v="7"/>
    <x v="140"/>
    <x v="144"/>
    <n v="4"/>
  </r>
  <r>
    <n v="149"/>
    <s v="CA-2017-114489"/>
    <x v="5"/>
    <d v="2017-12-09T00:00:00"/>
    <x v="1"/>
    <s v="JE-16165"/>
    <s v="Justin Ellison"/>
    <x v="1"/>
    <s v="United States"/>
    <s v="Franklin"/>
    <s v="Wisconsin"/>
    <n v="53132"/>
    <x v="2"/>
    <s v="TEC-PH-10001448"/>
    <x v="2"/>
    <x v="7"/>
    <x v="141"/>
    <x v="145"/>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502FB2-58A6-44FB-87F5-CCEA56BF757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location ref="G3:H19" firstHeaderRow="1" firstDataRow="1" firstDataCol="1"/>
  <pivotFields count="22">
    <pivotField showAll="0"/>
    <pivotField showAll="0"/>
    <pivotField numFmtId="14" showAll="0">
      <items count="70">
        <item x="8"/>
        <item x="3"/>
        <item x="55"/>
        <item x="9"/>
        <item x="59"/>
        <item x="36"/>
        <item x="22"/>
        <item x="68"/>
        <item x="7"/>
        <item x="35"/>
        <item x="29"/>
        <item x="58"/>
        <item x="43"/>
        <item x="56"/>
        <item x="57"/>
        <item x="24"/>
        <item x="33"/>
        <item x="28"/>
        <item x="37"/>
        <item x="67"/>
        <item x="14"/>
        <item x="12"/>
        <item x="2"/>
        <item x="52"/>
        <item x="50"/>
        <item x="6"/>
        <item x="27"/>
        <item x="17"/>
        <item x="13"/>
        <item x="21"/>
        <item x="41"/>
        <item x="30"/>
        <item x="1"/>
        <item x="26"/>
        <item x="23"/>
        <item x="19"/>
        <item x="48"/>
        <item x="64"/>
        <item x="47"/>
        <item x="42"/>
        <item x="31"/>
        <item x="63"/>
        <item x="54"/>
        <item x="61"/>
        <item x="0"/>
        <item x="49"/>
        <item x="5"/>
        <item x="16"/>
        <item x="10"/>
        <item x="25"/>
        <item x="62"/>
        <item x="4"/>
        <item x="39"/>
        <item x="46"/>
        <item x="11"/>
        <item x="18"/>
        <item x="32"/>
        <item x="65"/>
        <item x="20"/>
        <item x="15"/>
        <item x="40"/>
        <item x="60"/>
        <item x="44"/>
        <item x="45"/>
        <item x="38"/>
        <item x="51"/>
        <item x="34"/>
        <item x="66"/>
        <item x="53"/>
        <item t="default"/>
      </items>
    </pivotField>
    <pivotField numFmtId="14" showAll="0"/>
    <pivotField showAll="0">
      <items count="4">
        <item x="2"/>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sortType="ascending">
      <items count="16">
        <item x="11"/>
        <item x="9"/>
        <item x="6"/>
        <item x="8"/>
        <item x="0"/>
        <item x="1"/>
        <item x="12"/>
        <item x="13"/>
        <item x="5"/>
        <item x="2"/>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5"/>
  </rowFields>
  <rowItems count="16">
    <i>
      <x v="13"/>
    </i>
    <i>
      <x v="7"/>
    </i>
    <i>
      <x v="9"/>
    </i>
    <i>
      <x v="6"/>
    </i>
    <i>
      <x v="10"/>
    </i>
    <i>
      <x/>
    </i>
    <i>
      <x v="3"/>
    </i>
    <i>
      <x v="1"/>
    </i>
    <i>
      <x v="8"/>
    </i>
    <i>
      <x v="2"/>
    </i>
    <i>
      <x v="12"/>
    </i>
    <i>
      <x v="5"/>
    </i>
    <i>
      <x v="4"/>
    </i>
    <i>
      <x v="14"/>
    </i>
    <i>
      <x v="11"/>
    </i>
    <i t="grand">
      <x/>
    </i>
  </rowItems>
  <colItems count="1">
    <i/>
  </colItems>
  <dataFields count="1">
    <dataField name="Sum of Sales" fld="17" baseField="0" baseItem="0"/>
  </dataFields>
  <chartFormats count="6">
    <chartFormat chart="0" format="0"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51" format="8" series="1">
      <pivotArea type="data" outline="0" fieldPosition="0">
        <references count="1">
          <reference field="4294967294" count="1" selected="0">
            <x v="0"/>
          </reference>
        </references>
      </pivotArea>
    </chartFormat>
    <chartFormat chart="51" format="9">
      <pivotArea type="data" outline="0" fieldPosition="0">
        <references count="2">
          <reference field="4294967294" count="1" selected="0">
            <x v="0"/>
          </reference>
          <reference field="1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381BE0-BE68-4B41-BD33-13C87CCEAA4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D3:E7" firstHeaderRow="1" firstDataRow="1" firstDataCol="1"/>
  <pivotFields count="22">
    <pivotField showAll="0"/>
    <pivotField showAll="0"/>
    <pivotField numFmtId="14" showAll="0">
      <items count="70">
        <item x="8"/>
        <item x="3"/>
        <item x="55"/>
        <item x="9"/>
        <item x="59"/>
        <item x="36"/>
        <item x="22"/>
        <item x="68"/>
        <item x="7"/>
        <item x="35"/>
        <item x="29"/>
        <item x="58"/>
        <item x="43"/>
        <item x="56"/>
        <item x="57"/>
        <item x="24"/>
        <item x="33"/>
        <item x="28"/>
        <item x="37"/>
        <item x="67"/>
        <item x="14"/>
        <item x="12"/>
        <item x="2"/>
        <item x="52"/>
        <item x="50"/>
        <item x="6"/>
        <item x="27"/>
        <item x="17"/>
        <item x="13"/>
        <item x="21"/>
        <item x="41"/>
        <item x="30"/>
        <item x="1"/>
        <item x="26"/>
        <item x="23"/>
        <item x="19"/>
        <item x="48"/>
        <item x="64"/>
        <item x="47"/>
        <item x="42"/>
        <item x="31"/>
        <item x="63"/>
        <item x="54"/>
        <item x="61"/>
        <item x="0"/>
        <item x="49"/>
        <item x="5"/>
        <item x="16"/>
        <item x="10"/>
        <item x="25"/>
        <item x="62"/>
        <item x="4"/>
        <item x="39"/>
        <item x="46"/>
        <item x="11"/>
        <item x="18"/>
        <item x="32"/>
        <item x="65"/>
        <item x="20"/>
        <item x="15"/>
        <item x="40"/>
        <item x="60"/>
        <item x="44"/>
        <item x="45"/>
        <item x="38"/>
        <item x="51"/>
        <item x="34"/>
        <item x="66"/>
        <item x="53"/>
        <item t="default"/>
      </items>
    </pivotField>
    <pivotField numFmtId="14" showAll="0"/>
    <pivotField showAll="0">
      <items count="4">
        <item x="2"/>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v="2"/>
    </i>
    <i>
      <x v="1"/>
    </i>
    <i>
      <x/>
    </i>
    <i t="grand">
      <x/>
    </i>
  </rowItems>
  <colItems count="1">
    <i/>
  </colItems>
  <dataFields count="1">
    <dataField name="Sum of Sales" fld="17" baseField="0" baseItem="0"/>
  </dataFields>
  <chartFormats count="4">
    <chartFormat chart="0" format="0"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4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365649-13B7-4E51-9290-CEDBD25574F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A3:B16" firstHeaderRow="1" firstDataRow="1" firstDataCol="1"/>
  <pivotFields count="22">
    <pivotField showAll="0"/>
    <pivotField showAll="0"/>
    <pivotField numFmtId="14" showAll="0">
      <items count="70">
        <item x="8"/>
        <item x="3"/>
        <item x="55"/>
        <item x="9"/>
        <item x="59"/>
        <item x="36"/>
        <item x="22"/>
        <item x="68"/>
        <item x="7"/>
        <item x="35"/>
        <item x="29"/>
        <item x="58"/>
        <item x="43"/>
        <item x="56"/>
        <item x="57"/>
        <item x="24"/>
        <item x="33"/>
        <item x="28"/>
        <item x="37"/>
        <item x="67"/>
        <item x="14"/>
        <item x="12"/>
        <item x="2"/>
        <item x="52"/>
        <item x="50"/>
        <item x="6"/>
        <item x="27"/>
        <item x="17"/>
        <item x="13"/>
        <item x="21"/>
        <item x="41"/>
        <item x="30"/>
        <item x="1"/>
        <item x="26"/>
        <item x="23"/>
        <item x="19"/>
        <item x="48"/>
        <item x="64"/>
        <item x="47"/>
        <item x="42"/>
        <item x="31"/>
        <item x="63"/>
        <item x="54"/>
        <item x="61"/>
        <item x="0"/>
        <item x="49"/>
        <item x="5"/>
        <item x="16"/>
        <item x="10"/>
        <item x="25"/>
        <item x="62"/>
        <item x="4"/>
        <item x="39"/>
        <item x="46"/>
        <item x="11"/>
        <item x="18"/>
        <item x="32"/>
        <item x="65"/>
        <item x="20"/>
        <item x="15"/>
        <item x="40"/>
        <item x="60"/>
        <item x="44"/>
        <item x="45"/>
        <item x="38"/>
        <item x="51"/>
        <item x="34"/>
        <item x="66"/>
        <item x="53"/>
        <item t="default"/>
      </items>
    </pivotField>
    <pivotField numFmtId="14" showAll="0"/>
    <pivotField showAll="0">
      <items count="4">
        <item x="2"/>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axis="axisRow" showAll="0" sortType="ascending">
      <items count="15">
        <item sd="0" x="1"/>
        <item sd="0" x="2"/>
        <item sd="0" x="3"/>
        <item sd="0" x="4"/>
        <item sd="0" x="5"/>
        <item sd="0" x="6"/>
        <item sd="0" x="7"/>
        <item sd="0" x="8"/>
        <item sd="0" x="9"/>
        <item sd="0" x="10"/>
        <item sd="0" x="11"/>
        <item sd="0" x="12"/>
        <item sd="0" x="0"/>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9"/>
  </rowFields>
  <rowItems count="13">
    <i>
      <x/>
    </i>
    <i>
      <x v="1"/>
    </i>
    <i>
      <x v="2"/>
    </i>
    <i>
      <x v="3"/>
    </i>
    <i>
      <x v="4"/>
    </i>
    <i>
      <x v="5"/>
    </i>
    <i>
      <x v="6"/>
    </i>
    <i>
      <x v="7"/>
    </i>
    <i>
      <x v="8"/>
    </i>
    <i>
      <x v="9"/>
    </i>
    <i>
      <x v="10"/>
    </i>
    <i>
      <x v="11"/>
    </i>
    <i t="grand">
      <x/>
    </i>
  </rowItems>
  <colItems count="1">
    <i/>
  </colItems>
  <dataFields count="1">
    <dataField name="Sum of Sales" fld="17" baseField="0" baseItem="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9" count="1" selected="0">
            <x v="11"/>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0" format="2" series="1">
      <pivotArea type="data" outline="0" fieldPosition="0">
        <references count="2">
          <reference field="4294967294" count="1" selected="0">
            <x v="0"/>
          </reference>
          <reference field="19" count="1" selected="0">
            <x v="2"/>
          </reference>
        </references>
      </pivotArea>
    </chartFormat>
    <chartFormat chart="0" format="3" series="1">
      <pivotArea type="data" outline="0" fieldPosition="0">
        <references count="2">
          <reference field="4294967294" count="1" selected="0">
            <x v="0"/>
          </reference>
          <reference field="19" count="1" selected="0">
            <x v="3"/>
          </reference>
        </references>
      </pivotArea>
    </chartFormat>
    <chartFormat chart="0" format="4" series="1">
      <pivotArea type="data" outline="0" fieldPosition="0">
        <references count="2">
          <reference field="4294967294" count="1" selected="0">
            <x v="0"/>
          </reference>
          <reference field="19" count="1" selected="0">
            <x v="4"/>
          </reference>
        </references>
      </pivotArea>
    </chartFormat>
    <chartFormat chart="0" format="5" series="1">
      <pivotArea type="data" outline="0" fieldPosition="0">
        <references count="2">
          <reference field="4294967294" count="1" selected="0">
            <x v="0"/>
          </reference>
          <reference field="19" count="1" selected="0">
            <x v="5"/>
          </reference>
        </references>
      </pivotArea>
    </chartFormat>
    <chartFormat chart="0" format="6" series="1">
      <pivotArea type="data" outline="0" fieldPosition="0">
        <references count="2">
          <reference field="4294967294" count="1" selected="0">
            <x v="0"/>
          </reference>
          <reference field="19" count="1" selected="0">
            <x v="6"/>
          </reference>
        </references>
      </pivotArea>
    </chartFormat>
    <chartFormat chart="0" format="7" series="1">
      <pivotArea type="data" outline="0" fieldPosition="0">
        <references count="2">
          <reference field="4294967294" count="1" selected="0">
            <x v="0"/>
          </reference>
          <reference field="19" count="1" selected="0">
            <x v="7"/>
          </reference>
        </references>
      </pivotArea>
    </chartFormat>
    <chartFormat chart="0" format="8" series="1">
      <pivotArea type="data" outline="0" fieldPosition="0">
        <references count="2">
          <reference field="4294967294" count="1" selected="0">
            <x v="0"/>
          </reference>
          <reference field="19" count="1" selected="0">
            <x v="8"/>
          </reference>
        </references>
      </pivotArea>
    </chartFormat>
    <chartFormat chart="0" format="9" series="1">
      <pivotArea type="data" outline="0" fieldPosition="0">
        <references count="2">
          <reference field="4294967294" count="1" selected="0">
            <x v="0"/>
          </reference>
          <reference field="19" count="1" selected="0">
            <x v="9"/>
          </reference>
        </references>
      </pivotArea>
    </chartFormat>
    <chartFormat chart="0" format="10" series="1">
      <pivotArea type="data" outline="0" fieldPosition="0">
        <references count="2">
          <reference field="4294967294" count="1" selected="0">
            <x v="0"/>
          </reference>
          <reference field="19" count="1" selected="0">
            <x v="10"/>
          </reference>
        </references>
      </pivotArea>
    </chartFormat>
    <chartFormat chart="0" format="11" series="1">
      <pivotArea type="data" outline="0" fieldPosition="0">
        <references count="2">
          <reference field="4294967294" count="1" selected="0">
            <x v="0"/>
          </reference>
          <reference field="19" count="1" selected="0">
            <x v="11"/>
          </reference>
        </references>
      </pivotArea>
    </chartFormat>
    <chartFormat chart="17" format="3" series="1">
      <pivotArea type="data" outline="0" fieldPosition="0">
        <references count="1">
          <reference field="4294967294" count="1" selected="0">
            <x v="0"/>
          </reference>
        </references>
      </pivotArea>
    </chartFormat>
    <chartFormat chart="50"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9E2342-B6D6-441E-ACE1-3193EB6B77D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location ref="M3:N14" firstHeaderRow="1" firstDataRow="1" firstDataCol="1"/>
  <pivotFields count="22">
    <pivotField showAll="0"/>
    <pivotField showAll="0"/>
    <pivotField numFmtId="14" showAll="0">
      <items count="70">
        <item x="8"/>
        <item x="3"/>
        <item x="55"/>
        <item x="9"/>
        <item x="59"/>
        <item x="36"/>
        <item x="22"/>
        <item x="68"/>
        <item x="7"/>
        <item x="35"/>
        <item x="29"/>
        <item x="58"/>
        <item x="43"/>
        <item x="56"/>
        <item x="57"/>
        <item x="24"/>
        <item x="33"/>
        <item x="28"/>
        <item x="37"/>
        <item x="67"/>
        <item x="14"/>
        <item x="12"/>
        <item x="2"/>
        <item x="52"/>
        <item x="50"/>
        <item x="6"/>
        <item x="27"/>
        <item x="17"/>
        <item x="13"/>
        <item x="21"/>
        <item x="41"/>
        <item x="30"/>
        <item x="1"/>
        <item x="26"/>
        <item x="23"/>
        <item x="19"/>
        <item x="48"/>
        <item x="64"/>
        <item x="47"/>
        <item x="42"/>
        <item x="31"/>
        <item x="63"/>
        <item x="54"/>
        <item x="61"/>
        <item x="0"/>
        <item x="49"/>
        <item x="5"/>
        <item x="16"/>
        <item x="10"/>
        <item x="25"/>
        <item x="62"/>
        <item x="4"/>
        <item x="39"/>
        <item x="46"/>
        <item x="11"/>
        <item x="18"/>
        <item x="32"/>
        <item x="65"/>
        <item x="20"/>
        <item x="15"/>
        <item x="40"/>
        <item x="60"/>
        <item x="44"/>
        <item x="45"/>
        <item x="38"/>
        <item x="51"/>
        <item x="34"/>
        <item x="66"/>
        <item x="53"/>
        <item t="default"/>
      </items>
    </pivotField>
    <pivotField numFmtId="14" showAll="0"/>
    <pivotField showAll="0">
      <items count="4">
        <item x="2"/>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6">
        <item x="11"/>
        <item x="9"/>
        <item x="6"/>
        <item x="8"/>
        <item x="0"/>
        <item x="1"/>
        <item x="12"/>
        <item x="13"/>
        <item x="5"/>
        <item x="2"/>
        <item x="10"/>
        <item x="7"/>
        <item x="4"/>
        <item x="14"/>
        <item x="3"/>
        <item t="default"/>
      </items>
    </pivotField>
    <pivotField axis="axisRow" showAll="0" measureFilter="1">
      <items count="143">
        <item x="36"/>
        <item x="77"/>
        <item x="74"/>
        <item x="93"/>
        <item x="31"/>
        <item x="61"/>
        <item x="22"/>
        <item x="42"/>
        <item x="52"/>
        <item x="126"/>
        <item x="141"/>
        <item x="57"/>
        <item x="116"/>
        <item x="53"/>
        <item x="37"/>
        <item x="49"/>
        <item x="85"/>
        <item x="68"/>
        <item x="109"/>
        <item x="122"/>
        <item x="78"/>
        <item x="98"/>
        <item x="96"/>
        <item x="27"/>
        <item x="102"/>
        <item x="9"/>
        <item x="121"/>
        <item x="30"/>
        <item x="3"/>
        <item x="0"/>
        <item x="10"/>
        <item x="19"/>
        <item x="48"/>
        <item x="117"/>
        <item x="136"/>
        <item x="101"/>
        <item x="8"/>
        <item x="33"/>
        <item x="73"/>
        <item x="41"/>
        <item x="125"/>
        <item x="76"/>
        <item x="5"/>
        <item x="4"/>
        <item x="86"/>
        <item x="35"/>
        <item x="95"/>
        <item x="13"/>
        <item x="17"/>
        <item x="134"/>
        <item x="92"/>
        <item x="115"/>
        <item x="133"/>
        <item x="34"/>
        <item x="120"/>
        <item x="23"/>
        <item x="38"/>
        <item x="51"/>
        <item x="124"/>
        <item x="64"/>
        <item x="118"/>
        <item x="45"/>
        <item x="70"/>
        <item x="14"/>
        <item x="54"/>
        <item x="1"/>
        <item x="114"/>
        <item x="28"/>
        <item x="65"/>
        <item x="108"/>
        <item x="91"/>
        <item x="132"/>
        <item x="46"/>
        <item x="25"/>
        <item x="81"/>
        <item x="119"/>
        <item x="11"/>
        <item x="47"/>
        <item x="100"/>
        <item x="106"/>
        <item x="84"/>
        <item x="50"/>
        <item x="32"/>
        <item x="63"/>
        <item x="107"/>
        <item x="103"/>
        <item x="7"/>
        <item x="66"/>
        <item x="21"/>
        <item x="6"/>
        <item x="18"/>
        <item x="135"/>
        <item x="105"/>
        <item x="83"/>
        <item x="56"/>
        <item x="110"/>
        <item x="40"/>
        <item x="140"/>
        <item x="39"/>
        <item x="58"/>
        <item x="29"/>
        <item x="59"/>
        <item x="79"/>
        <item x="111"/>
        <item x="26"/>
        <item x="82"/>
        <item x="72"/>
        <item x="97"/>
        <item x="131"/>
        <item x="138"/>
        <item x="2"/>
        <item x="90"/>
        <item x="139"/>
        <item x="75"/>
        <item x="67"/>
        <item x="80"/>
        <item x="104"/>
        <item x="128"/>
        <item x="15"/>
        <item x="16"/>
        <item x="69"/>
        <item x="71"/>
        <item x="123"/>
        <item x="94"/>
        <item x="87"/>
        <item x="113"/>
        <item x="99"/>
        <item x="43"/>
        <item x="60"/>
        <item x="24"/>
        <item x="20"/>
        <item x="44"/>
        <item x="130"/>
        <item x="137"/>
        <item x="127"/>
        <item x="112"/>
        <item x="62"/>
        <item x="129"/>
        <item x="12"/>
        <item x="88"/>
        <item x="89"/>
        <item x="55"/>
        <item t="default"/>
      </items>
    </pivotField>
    <pivotField dataField="1" showAll="0">
      <items count="147">
        <item x="75"/>
        <item x="61"/>
        <item x="99"/>
        <item x="123"/>
        <item x="15"/>
        <item x="30"/>
        <item x="106"/>
        <item x="133"/>
        <item x="70"/>
        <item x="111"/>
        <item x="94"/>
        <item x="51"/>
        <item x="90"/>
        <item x="32"/>
        <item x="6"/>
        <item x="18"/>
        <item x="138"/>
        <item x="28"/>
        <item x="76"/>
        <item x="139"/>
        <item x="132"/>
        <item x="25"/>
        <item x="91"/>
        <item x="62"/>
        <item x="58"/>
        <item x="2"/>
        <item x="81"/>
        <item x="53"/>
        <item x="12"/>
        <item x="33"/>
        <item x="80"/>
        <item x="45"/>
        <item x="8"/>
        <item x="71"/>
        <item x="78"/>
        <item x="21"/>
        <item x="86"/>
        <item x="130"/>
        <item x="88"/>
        <item x="82"/>
        <item x="129"/>
        <item x="48"/>
        <item x="4"/>
        <item x="20"/>
        <item x="100"/>
        <item x="112"/>
        <item x="63"/>
        <item x="77"/>
        <item x="105"/>
        <item x="34"/>
        <item x="59"/>
        <item x="117"/>
        <item x="56"/>
        <item x="93"/>
        <item x="131"/>
        <item x="103"/>
        <item x="49"/>
        <item x="110"/>
        <item x="108"/>
        <item x="136"/>
        <item x="47"/>
        <item x="44"/>
        <item x="116"/>
        <item x="60"/>
        <item x="5"/>
        <item x="96"/>
        <item x="92"/>
        <item x="17"/>
        <item x="127"/>
        <item x="22"/>
        <item x="97"/>
        <item x="135"/>
        <item x="120"/>
        <item x="14"/>
        <item x="23"/>
        <item x="74"/>
        <item x="89"/>
        <item x="104"/>
        <item x="50"/>
        <item x="69"/>
        <item x="109"/>
        <item x="134"/>
        <item x="42"/>
        <item x="128"/>
        <item x="65"/>
        <item x="125"/>
        <item x="137"/>
        <item x="31"/>
        <item x="52"/>
        <item x="26"/>
        <item x="143"/>
        <item x="43"/>
        <item x="98"/>
        <item x="95"/>
        <item x="73"/>
        <item x="102"/>
        <item x="37"/>
        <item x="9"/>
        <item x="119"/>
        <item x="29"/>
        <item x="113"/>
        <item x="140"/>
        <item x="64"/>
        <item x="41"/>
        <item x="145"/>
        <item x="115"/>
        <item x="87"/>
        <item x="68"/>
        <item x="36"/>
        <item x="83"/>
        <item x="79"/>
        <item x="55"/>
        <item x="46"/>
        <item x="39"/>
        <item x="66"/>
        <item x="19"/>
        <item x="118"/>
        <item x="84"/>
        <item x="126"/>
        <item x="101"/>
        <item x="124"/>
        <item x="0"/>
        <item x="85"/>
        <item x="57"/>
        <item x="107"/>
        <item x="40"/>
        <item x="144"/>
        <item x="13"/>
        <item x="38"/>
        <item x="121"/>
        <item x="122"/>
        <item x="16"/>
        <item x="142"/>
        <item x="1"/>
        <item x="114"/>
        <item x="72"/>
        <item x="141"/>
        <item x="7"/>
        <item x="11"/>
        <item x="3"/>
        <item x="54"/>
        <item x="24"/>
        <item x="35"/>
        <item x="67"/>
        <item x="10"/>
        <item x="27"/>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6"/>
  </rowFields>
  <rowItems count="11">
    <i>
      <x v="13"/>
    </i>
    <i>
      <x v="28"/>
    </i>
    <i>
      <x v="30"/>
    </i>
    <i>
      <x v="53"/>
    </i>
    <i>
      <x v="68"/>
    </i>
    <i>
      <x v="76"/>
    </i>
    <i>
      <x v="86"/>
    </i>
    <i>
      <x v="104"/>
    </i>
    <i>
      <x v="105"/>
    </i>
    <i>
      <x v="109"/>
    </i>
    <i t="grand">
      <x/>
    </i>
  </rowItems>
  <colItems count="1">
    <i/>
  </colItems>
  <dataFields count="1">
    <dataField name="Sum of Sales" fld="17" baseField="16" baseItem="0"/>
  </dataFields>
  <chartFormats count="1">
    <chartFormat chart="5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69D47C-DBA3-468D-9A47-7D25464388A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J3:K8" firstHeaderRow="1" firstDataRow="1" firstDataCol="1"/>
  <pivotFields count="22">
    <pivotField showAll="0"/>
    <pivotField showAll="0"/>
    <pivotField numFmtId="14" showAll="0">
      <items count="70">
        <item x="8"/>
        <item x="3"/>
        <item x="55"/>
        <item x="9"/>
        <item x="59"/>
        <item x="36"/>
        <item x="22"/>
        <item x="68"/>
        <item x="7"/>
        <item x="35"/>
        <item x="29"/>
        <item x="58"/>
        <item x="43"/>
        <item x="56"/>
        <item x="57"/>
        <item x="24"/>
        <item x="33"/>
        <item x="28"/>
        <item x="37"/>
        <item x="67"/>
        <item x="14"/>
        <item x="12"/>
        <item x="2"/>
        <item x="52"/>
        <item x="50"/>
        <item x="6"/>
        <item x="27"/>
        <item x="17"/>
        <item x="13"/>
        <item x="21"/>
        <item x="41"/>
        <item x="30"/>
        <item x="1"/>
        <item x="26"/>
        <item x="23"/>
        <item x="19"/>
        <item x="48"/>
        <item x="64"/>
        <item x="47"/>
        <item x="42"/>
        <item x="31"/>
        <item x="63"/>
        <item x="54"/>
        <item x="61"/>
        <item x="0"/>
        <item x="49"/>
        <item x="5"/>
        <item x="16"/>
        <item x="10"/>
        <item x="25"/>
        <item x="62"/>
        <item x="4"/>
        <item x="39"/>
        <item x="46"/>
        <item x="11"/>
        <item x="18"/>
        <item x="32"/>
        <item x="65"/>
        <item x="20"/>
        <item x="15"/>
        <item x="40"/>
        <item x="60"/>
        <item x="44"/>
        <item x="45"/>
        <item x="38"/>
        <item x="51"/>
        <item x="34"/>
        <item x="66"/>
        <item x="53"/>
        <item t="default"/>
      </items>
    </pivotField>
    <pivotField numFmtId="14" showAll="0"/>
    <pivotField showAll="0">
      <items count="4">
        <item x="2"/>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sortType="ascending">
      <items count="16">
        <item x="11"/>
        <item x="9"/>
        <item x="6"/>
        <item x="8"/>
        <item x="0"/>
        <item x="1"/>
        <item x="12"/>
        <item x="13"/>
        <item x="5"/>
        <item x="2"/>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2"/>
  </rowFields>
  <rowItems count="5">
    <i>
      <x/>
    </i>
    <i>
      <x v="1"/>
    </i>
    <i>
      <x v="2"/>
    </i>
    <i>
      <x v="3"/>
    </i>
    <i t="grand">
      <x/>
    </i>
  </rowItems>
  <colItems count="1">
    <i/>
  </colItems>
  <dataFields count="1">
    <dataField name="Sum of Sales" fld="17" baseField="0" baseItem="0"/>
  </dataFields>
  <chartFormats count="10">
    <chartFormat chart="0" format="0"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50" format="20" series="1">
      <pivotArea type="data" outline="0" fieldPosition="0">
        <references count="1">
          <reference field="4294967294" count="1" selected="0">
            <x v="0"/>
          </reference>
        </references>
      </pivotArea>
    </chartFormat>
    <chartFormat chart="50" format="21">
      <pivotArea type="data" outline="0" fieldPosition="0">
        <references count="2">
          <reference field="4294967294" count="1" selected="0">
            <x v="0"/>
          </reference>
          <reference field="12" count="1" selected="0">
            <x v="0"/>
          </reference>
        </references>
      </pivotArea>
    </chartFormat>
    <chartFormat chart="50" format="22">
      <pivotArea type="data" outline="0" fieldPosition="0">
        <references count="2">
          <reference field="4294967294" count="1" selected="0">
            <x v="0"/>
          </reference>
          <reference field="12" count="1" selected="0">
            <x v="1"/>
          </reference>
        </references>
      </pivotArea>
    </chartFormat>
    <chartFormat chart="50" format="23">
      <pivotArea type="data" outline="0" fieldPosition="0">
        <references count="2">
          <reference field="4294967294" count="1" selected="0">
            <x v="0"/>
          </reference>
          <reference field="12" count="1" selected="0">
            <x v="2"/>
          </reference>
        </references>
      </pivotArea>
    </chartFormat>
    <chartFormat chart="50" format="2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01A2BE4B-C08D-4BEA-A5DB-F8328FD91E1E}" sourceName="Years (Order Date)">
  <pivotTables>
    <pivotTable tabId="2" name="PivotTable3"/>
    <pivotTable tabId="2" name="PivotTable1"/>
    <pivotTable tabId="2" name="PivotTable2"/>
    <pivotTable tabId="2" name="PivotTable4"/>
    <pivotTable tabId="2" name="PivotTable5"/>
  </pivotTables>
  <data>
    <tabular pivotCacheId="1592935560">
      <items count="6">
        <i x="1" s="1"/>
        <i x="2" s="1"/>
        <i x="3" s="1"/>
        <i x="4" s="1"/>
        <i x="0"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780FF32-FC96-4C3B-9F67-21001FCF728B}" sourceName="Region">
  <pivotTables>
    <pivotTable tabId="2" name="PivotTable3"/>
    <pivotTable tabId="2" name="PivotTable1"/>
    <pivotTable tabId="2" name="PivotTable2"/>
    <pivotTable tabId="2" name="PivotTable4"/>
    <pivotTable tabId="2" name="PivotTable5"/>
  </pivotTables>
  <data>
    <tabular pivotCacheId="1592935560">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938DA7F-405C-4C0F-B6B4-73E3257D2645}" sourceName="Category">
  <pivotTables>
    <pivotTable tabId="2" name="PivotTable4"/>
    <pivotTable tabId="2" name="PivotTable1"/>
    <pivotTable tabId="2" name="PivotTable2"/>
    <pivotTable tabId="2" name="PivotTable3"/>
    <pivotTable tabId="2" name="PivotTable5"/>
  </pivotTables>
  <data>
    <tabular pivotCacheId="1592935560">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DB33A95-B2B6-40DA-8754-D3EB96379F30}" sourceName="Segment">
  <pivotTables>
    <pivotTable tabId="2" name="PivotTable4"/>
    <pivotTable tabId="2" name="PivotTable1"/>
    <pivotTable tabId="2" name="PivotTable2"/>
    <pivotTable tabId="2" name="PivotTable3"/>
    <pivotTable tabId="2" name="PivotTable5"/>
  </pivotTables>
  <data>
    <tabular pivotCacheId="1592935560">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E8888A57-B405-46CF-8B5A-E33C17ACF66A}" sourceName="Ship Mode">
  <pivotTables>
    <pivotTable tabId="2" name="PivotTable4"/>
    <pivotTable tabId="2" name="PivotTable1"/>
    <pivotTable tabId="2" name="PivotTable2"/>
    <pivotTable tabId="2" name="PivotTable3"/>
    <pivotTable tabId="2" name="PivotTable5"/>
  </pivotTables>
  <data>
    <tabular pivotCacheId="159293556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5" xr10:uid="{F0081234-1BEA-4A1A-8513-00D96676B98F}" cache="Slicer_Years__Order_Date" caption="Years (Order Date)" style="SlicerStyleDark3" rowHeight="234950"/>
  <slicer name="Region 5" xr10:uid="{A55254F4-2E84-40AB-9304-419BC1E09380}" cache="Slicer_Region" caption="Region" style="SlicerStyleDark3" rowHeight="234950"/>
  <slicer name="Category" xr10:uid="{13D9E22F-7F2D-40C8-BB0C-45E7F089DD17}" cache="Slicer_Category" caption="Category" style="SlicerStyleDark3" rowHeight="234950"/>
  <slicer name="Segment" xr10:uid="{5187984E-96D8-4D5C-90F3-D3AC023B6252}" cache="Slicer_Segment" caption="Segment" style="SlicerStyleDark3" rowHeight="234950"/>
  <slicer name="Ship Mode 1" xr10:uid="{50878B0B-E59E-4DB6-8A2E-DC6B8B0A4775}" cache="Slicer_Ship_Mode" caption="Ship Mode" style="SlicerStyleDark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4" xr10:uid="{1736072A-DA93-4018-AAC1-078009479FBA}" cache="Slicer_Years__Order_Date" caption="Years (Order Date)" style="SlicerStyleOther2" rowHeight="234950"/>
  <slicer name="Region 4" xr10:uid="{177FFC9D-8C27-40A5-9101-1E50CCD08A94}" cache="Slicer_Region" caption="Region" style="SlicerStyleOther2" rowHeight="234950"/>
  <slicer name="Category 3" xr10:uid="{2672F2D4-096B-4E29-AC61-F53849BDB6CF}" cache="Slicer_Category" caption="Category" style="SlicerStyleOther2" rowHeight="234950"/>
  <slicer name="Segment 3" xr10:uid="{9272A98D-3CC0-4F08-BF82-CA732BBEA052}" cache="Slicer_Segment" caption="Segment" style="SlicerStyleOther2" rowHeight="234950"/>
  <slicer name="Ship Mode 3" xr10:uid="{17D8AAA2-76E6-4E0F-8603-CFE5C9C82E95}" cache="Slicer_Ship_Mode" caption="Ship Mode" style="SlicerStyleOther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726DEF3-85D1-4E24-B945-D8F7BC24B92F}" name="Table2" displayName="Table2" ref="A1:S150" totalsRowShown="0">
  <autoFilter ref="A1:S150" xr:uid="{A726DEF3-85D1-4E24-B945-D8F7BC24B92F}"/>
  <tableColumns count="19">
    <tableColumn id="1" xr3:uid="{600CD9F5-9D48-46FF-A423-C7AC4588D096}" name="Row ID"/>
    <tableColumn id="2" xr3:uid="{A48E5E68-E6B5-4140-8B21-4B6C75942F05}" name="Order ID"/>
    <tableColumn id="3" xr3:uid="{D80555CE-3372-4604-B14D-DBD47C038D4E}" name="Order Date" dataDxfId="2"/>
    <tableColumn id="4" xr3:uid="{C9A59A4E-9738-4A4B-B8AC-3E0146C98452}" name="Ship Date" dataDxfId="1"/>
    <tableColumn id="5" xr3:uid="{F9F1B620-0A57-4320-B6C6-C34309914F12}" name="Ship Mode"/>
    <tableColumn id="6" xr3:uid="{09FB2C01-3D2B-455A-A455-0B6643AC9CEF}" name="Customer ID"/>
    <tableColumn id="7" xr3:uid="{86002819-D64E-413C-9E31-EACF0F9FAB91}" name="Customer Name"/>
    <tableColumn id="8" xr3:uid="{8A5717EA-0EFD-4649-A3F4-F272D2F6ADAD}" name="Segment"/>
    <tableColumn id="9" xr3:uid="{9D736748-F61B-42AE-9D77-E2F3F7CAEF80}" name="Country"/>
    <tableColumn id="10" xr3:uid="{E530D936-5BFB-4CDA-9631-933C9115A40A}" name="City"/>
    <tableColumn id="11" xr3:uid="{794BCDD5-6C50-4C00-8601-78238B582E66}" name="State"/>
    <tableColumn id="12" xr3:uid="{16AA3CFB-A55C-4D38-8FFB-04191FD02CE9}" name="Postal Code"/>
    <tableColumn id="13" xr3:uid="{9C5B4FF6-5C97-4E02-BC7C-1208910CDEC4}" name="Region"/>
    <tableColumn id="14" xr3:uid="{57F1B427-1DE5-4FF2-AD64-5CF666C9F9D5}" name="Product ID"/>
    <tableColumn id="15" xr3:uid="{3ECD189E-361C-45F4-B649-ECD04BC14F66}" name="Category"/>
    <tableColumn id="16" xr3:uid="{3A205F9C-5FC3-41EF-B27F-82E120EB8684}" name="Sub-Category"/>
    <tableColumn id="17" xr3:uid="{14CCF331-6B0E-4808-9351-37067DAC354C}" name="Product Name"/>
    <tableColumn id="18" xr3:uid="{B0162F07-2B0E-437E-A908-2E54ED9F494D}" name="Sales"/>
    <tableColumn id="20" xr3:uid="{BB7AF5C1-94C5-4AD8-BDAB-26B68D8A4E13}" name="values" dataDxfId="0">
      <calculatedColumnFormula>Table2[[#This Row],[Ship Date]]-Table2[[#This Row],[Order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DB463-F1EF-4B80-81F9-0421D793B9B4}">
  <dimension ref="A1:W150"/>
  <sheetViews>
    <sheetView workbookViewId="0">
      <selection activeCell="G24" sqref="G24"/>
    </sheetView>
  </sheetViews>
  <sheetFormatPr defaultRowHeight="14.4" x14ac:dyDescent="0.3"/>
  <cols>
    <col min="2" max="2" width="9.88671875" customWidth="1"/>
    <col min="3" max="3" width="12" customWidth="1"/>
    <col min="4" max="4" width="10.88671875" customWidth="1"/>
    <col min="5" max="5" width="12" customWidth="1"/>
    <col min="6" max="6" width="13.33203125" customWidth="1"/>
    <col min="7" max="7" width="16.44140625" customWidth="1"/>
    <col min="8" max="8" width="10.33203125" customWidth="1"/>
    <col min="9" max="9" width="9.6640625" customWidth="1"/>
    <col min="12" max="12" width="12.6640625" customWidth="1"/>
    <col min="14" max="14" width="11.6640625" customWidth="1"/>
    <col min="15" max="15" width="10.44140625" customWidth="1"/>
    <col min="16" max="16" width="14.33203125" customWidth="1"/>
    <col min="17" max="17" width="15" customWidth="1"/>
    <col min="18" max="21" width="10.33203125" customWidth="1"/>
    <col min="23" max="23" width="13.88671875" bestFit="1" customWidth="1"/>
  </cols>
  <sheetData>
    <row r="1" spans="1:23" x14ac:dyDescent="0.3">
      <c r="A1" t="s">
        <v>47</v>
      </c>
      <c r="B1" t="s">
        <v>48</v>
      </c>
      <c r="C1" t="s">
        <v>49</v>
      </c>
      <c r="D1" t="s">
        <v>50</v>
      </c>
      <c r="E1" t="s">
        <v>51</v>
      </c>
      <c r="F1" t="s">
        <v>52</v>
      </c>
      <c r="G1" t="s">
        <v>53</v>
      </c>
      <c r="H1" t="s">
        <v>54</v>
      </c>
      <c r="I1" t="s">
        <v>55</v>
      </c>
      <c r="J1" t="s">
        <v>56</v>
      </c>
      <c r="K1" t="s">
        <v>57</v>
      </c>
      <c r="L1" t="s">
        <v>58</v>
      </c>
      <c r="M1" t="s">
        <v>59</v>
      </c>
      <c r="N1" t="s">
        <v>60</v>
      </c>
      <c r="O1" t="s">
        <v>61</v>
      </c>
      <c r="P1" t="s">
        <v>62</v>
      </c>
      <c r="Q1" t="s">
        <v>63</v>
      </c>
      <c r="R1" t="s">
        <v>64</v>
      </c>
      <c r="S1" t="s">
        <v>65</v>
      </c>
    </row>
    <row r="2" spans="1:23" x14ac:dyDescent="0.3">
      <c r="A2">
        <v>1</v>
      </c>
      <c r="B2" t="s">
        <v>66</v>
      </c>
      <c r="C2" s="1">
        <v>43047</v>
      </c>
      <c r="D2" s="1">
        <v>43050</v>
      </c>
      <c r="E2" t="s">
        <v>67</v>
      </c>
      <c r="F2" t="s">
        <v>68</v>
      </c>
      <c r="G2" t="s">
        <v>69</v>
      </c>
      <c r="H2" t="s">
        <v>70</v>
      </c>
      <c r="I2" t="s">
        <v>71</v>
      </c>
      <c r="J2" t="s">
        <v>72</v>
      </c>
      <c r="K2" t="s">
        <v>73</v>
      </c>
      <c r="L2">
        <v>42420</v>
      </c>
      <c r="M2" t="s">
        <v>15</v>
      </c>
      <c r="N2" t="s">
        <v>74</v>
      </c>
      <c r="O2" t="s">
        <v>13</v>
      </c>
      <c r="P2" t="s">
        <v>44</v>
      </c>
      <c r="Q2" t="s">
        <v>75</v>
      </c>
      <c r="R2">
        <v>261.95999999999998</v>
      </c>
      <c r="S2">
        <f>Table2[[#This Row],[Ship Date]]-Table2[[#This Row],[Order Date]]</f>
        <v>3</v>
      </c>
    </row>
    <row r="3" spans="1:23" x14ac:dyDescent="0.3">
      <c r="A3">
        <v>2</v>
      </c>
      <c r="B3" t="s">
        <v>66</v>
      </c>
      <c r="C3" s="1">
        <v>43047</v>
      </c>
      <c r="D3" s="1">
        <v>43050</v>
      </c>
      <c r="E3" t="s">
        <v>67</v>
      </c>
      <c r="F3" t="s">
        <v>68</v>
      </c>
      <c r="G3" t="s">
        <v>69</v>
      </c>
      <c r="H3" t="s">
        <v>70</v>
      </c>
      <c r="I3" t="s">
        <v>71</v>
      </c>
      <c r="J3" t="s">
        <v>72</v>
      </c>
      <c r="K3" t="s">
        <v>73</v>
      </c>
      <c r="L3">
        <v>42420</v>
      </c>
      <c r="M3" t="s">
        <v>15</v>
      </c>
      <c r="N3" t="s">
        <v>76</v>
      </c>
      <c r="O3" t="s">
        <v>13</v>
      </c>
      <c r="P3" t="s">
        <v>43</v>
      </c>
      <c r="Q3" t="s">
        <v>77</v>
      </c>
      <c r="R3">
        <v>731.94</v>
      </c>
      <c r="S3">
        <f>Table2[[#This Row],[Ship Date]]-Table2[[#This Row],[Order Date]]</f>
        <v>3</v>
      </c>
      <c r="W3" t="s">
        <v>78</v>
      </c>
    </row>
    <row r="4" spans="1:23" x14ac:dyDescent="0.3">
      <c r="A4">
        <v>3</v>
      </c>
      <c r="B4" t="s">
        <v>79</v>
      </c>
      <c r="C4" s="1">
        <v>42898</v>
      </c>
      <c r="D4" s="1">
        <v>42902</v>
      </c>
      <c r="E4" t="s">
        <v>67</v>
      </c>
      <c r="F4" t="s">
        <v>80</v>
      </c>
      <c r="G4" t="s">
        <v>81</v>
      </c>
      <c r="H4" t="s">
        <v>82</v>
      </c>
      <c r="I4" t="s">
        <v>71</v>
      </c>
      <c r="J4" t="s">
        <v>83</v>
      </c>
      <c r="K4" t="s">
        <v>84</v>
      </c>
      <c r="L4">
        <v>90036</v>
      </c>
      <c r="M4" t="s">
        <v>20</v>
      </c>
      <c r="N4" t="s">
        <v>85</v>
      </c>
      <c r="O4" t="s">
        <v>8</v>
      </c>
      <c r="P4" t="s">
        <v>14</v>
      </c>
      <c r="Q4" t="s">
        <v>86</v>
      </c>
      <c r="R4">
        <v>14.62</v>
      </c>
      <c r="S4">
        <f>Table2[[#This Row],[Ship Date]]-Table2[[#This Row],[Order Date]]</f>
        <v>4</v>
      </c>
      <c r="W4" s="6">
        <f>SUM(R2:R200)</f>
        <v>28813.357700000004</v>
      </c>
    </row>
    <row r="5" spans="1:23" x14ac:dyDescent="0.3">
      <c r="A5">
        <v>4</v>
      </c>
      <c r="B5" t="s">
        <v>87</v>
      </c>
      <c r="C5" s="1">
        <v>42654</v>
      </c>
      <c r="D5" s="1">
        <v>42661</v>
      </c>
      <c r="E5" t="s">
        <v>88</v>
      </c>
      <c r="F5" t="s">
        <v>89</v>
      </c>
      <c r="G5" t="s">
        <v>90</v>
      </c>
      <c r="H5" t="s">
        <v>70</v>
      </c>
      <c r="I5" t="s">
        <v>71</v>
      </c>
      <c r="J5" t="s">
        <v>91</v>
      </c>
      <c r="K5" t="s">
        <v>92</v>
      </c>
      <c r="L5">
        <v>33311</v>
      </c>
      <c r="M5" t="s">
        <v>15</v>
      </c>
      <c r="N5" t="s">
        <v>93</v>
      </c>
      <c r="O5" t="s">
        <v>13</v>
      </c>
      <c r="P5" t="s">
        <v>45</v>
      </c>
      <c r="Q5" t="s">
        <v>11</v>
      </c>
      <c r="R5">
        <v>957.57749999999999</v>
      </c>
      <c r="S5">
        <f>Table2[[#This Row],[Ship Date]]-Table2[[#This Row],[Order Date]]</f>
        <v>7</v>
      </c>
      <c r="U5" s="5"/>
    </row>
    <row r="6" spans="1:23" x14ac:dyDescent="0.3">
      <c r="A6">
        <v>5</v>
      </c>
      <c r="B6" t="s">
        <v>87</v>
      </c>
      <c r="C6" s="1">
        <v>42654</v>
      </c>
      <c r="D6" s="1">
        <v>42661</v>
      </c>
      <c r="E6" t="s">
        <v>88</v>
      </c>
      <c r="F6" t="s">
        <v>89</v>
      </c>
      <c r="G6" t="s">
        <v>90</v>
      </c>
      <c r="H6" t="s">
        <v>70</v>
      </c>
      <c r="I6" t="s">
        <v>71</v>
      </c>
      <c r="J6" t="s">
        <v>91</v>
      </c>
      <c r="K6" t="s">
        <v>92</v>
      </c>
      <c r="L6">
        <v>33311</v>
      </c>
      <c r="M6" t="s">
        <v>15</v>
      </c>
      <c r="N6" t="s">
        <v>94</v>
      </c>
      <c r="O6" t="s">
        <v>8</v>
      </c>
      <c r="P6" t="s">
        <v>41</v>
      </c>
      <c r="Q6" t="s">
        <v>95</v>
      </c>
      <c r="R6">
        <v>22.367999999999999</v>
      </c>
      <c r="S6">
        <f>Table2[[#This Row],[Ship Date]]-Table2[[#This Row],[Order Date]]</f>
        <v>7</v>
      </c>
      <c r="W6" t="s">
        <v>96</v>
      </c>
    </row>
    <row r="7" spans="1:23" x14ac:dyDescent="0.3">
      <c r="A7">
        <v>6</v>
      </c>
      <c r="B7" t="s">
        <v>97</v>
      </c>
      <c r="C7" s="1">
        <v>42164</v>
      </c>
      <c r="D7" s="1">
        <v>42169</v>
      </c>
      <c r="E7" t="s">
        <v>88</v>
      </c>
      <c r="F7" t="s">
        <v>98</v>
      </c>
      <c r="G7" t="s">
        <v>99</v>
      </c>
      <c r="H7" t="s">
        <v>70</v>
      </c>
      <c r="I7" t="s">
        <v>71</v>
      </c>
      <c r="J7" t="s">
        <v>83</v>
      </c>
      <c r="K7" t="s">
        <v>84</v>
      </c>
      <c r="L7">
        <v>90032</v>
      </c>
      <c r="M7" t="s">
        <v>20</v>
      </c>
      <c r="N7" t="s">
        <v>100</v>
      </c>
      <c r="O7" t="s">
        <v>13</v>
      </c>
      <c r="P7" t="s">
        <v>35</v>
      </c>
      <c r="Q7" t="s">
        <v>101</v>
      </c>
      <c r="R7">
        <v>48.86</v>
      </c>
      <c r="S7">
        <f>Table2[[#This Row],[Ship Date]]-Table2[[#This Row],[Order Date]]</f>
        <v>5</v>
      </c>
      <c r="W7">
        <f>COUNTA(_xlfn.UNIQUE(B2:B150))</f>
        <v>72</v>
      </c>
    </row>
    <row r="8" spans="1:23" x14ac:dyDescent="0.3">
      <c r="A8">
        <v>7</v>
      </c>
      <c r="B8" t="s">
        <v>97</v>
      </c>
      <c r="C8" s="1">
        <v>42164</v>
      </c>
      <c r="D8" s="1">
        <v>42169</v>
      </c>
      <c r="E8" t="s">
        <v>88</v>
      </c>
      <c r="F8" t="s">
        <v>98</v>
      </c>
      <c r="G8" t="s">
        <v>99</v>
      </c>
      <c r="H8" t="s">
        <v>70</v>
      </c>
      <c r="I8" t="s">
        <v>71</v>
      </c>
      <c r="J8" t="s">
        <v>83</v>
      </c>
      <c r="K8" t="s">
        <v>84</v>
      </c>
      <c r="L8">
        <v>90032</v>
      </c>
      <c r="M8" t="s">
        <v>20</v>
      </c>
      <c r="N8" t="s">
        <v>102</v>
      </c>
      <c r="O8" t="s">
        <v>8</v>
      </c>
      <c r="P8" t="s">
        <v>38</v>
      </c>
      <c r="Q8" t="s">
        <v>103</v>
      </c>
      <c r="R8">
        <v>7.28</v>
      </c>
      <c r="S8">
        <f>Table2[[#This Row],[Ship Date]]-Table2[[#This Row],[Order Date]]</f>
        <v>5</v>
      </c>
    </row>
    <row r="9" spans="1:23" x14ac:dyDescent="0.3">
      <c r="A9">
        <v>8</v>
      </c>
      <c r="B9" t="s">
        <v>97</v>
      </c>
      <c r="C9" s="1">
        <v>42164</v>
      </c>
      <c r="D9" s="1">
        <v>42169</v>
      </c>
      <c r="E9" t="s">
        <v>88</v>
      </c>
      <c r="F9" t="s">
        <v>98</v>
      </c>
      <c r="G9" t="s">
        <v>99</v>
      </c>
      <c r="H9" t="s">
        <v>70</v>
      </c>
      <c r="I9" t="s">
        <v>71</v>
      </c>
      <c r="J9" t="s">
        <v>83</v>
      </c>
      <c r="K9" t="s">
        <v>84</v>
      </c>
      <c r="L9">
        <v>90032</v>
      </c>
      <c r="M9" t="s">
        <v>20</v>
      </c>
      <c r="N9" t="s">
        <v>104</v>
      </c>
      <c r="O9" t="s">
        <v>3</v>
      </c>
      <c r="P9" t="s">
        <v>46</v>
      </c>
      <c r="Q9" t="s">
        <v>30</v>
      </c>
      <c r="R9">
        <v>907.15200000000004</v>
      </c>
      <c r="S9">
        <f>Table2[[#This Row],[Ship Date]]-Table2[[#This Row],[Order Date]]</f>
        <v>5</v>
      </c>
      <c r="W9" t="s">
        <v>105</v>
      </c>
    </row>
    <row r="10" spans="1:23" x14ac:dyDescent="0.3">
      <c r="A10">
        <v>9</v>
      </c>
      <c r="B10" t="s">
        <v>97</v>
      </c>
      <c r="C10" s="1">
        <v>42164</v>
      </c>
      <c r="D10" s="1">
        <v>42169</v>
      </c>
      <c r="E10" t="s">
        <v>88</v>
      </c>
      <c r="F10" t="s">
        <v>98</v>
      </c>
      <c r="G10" t="s">
        <v>99</v>
      </c>
      <c r="H10" t="s">
        <v>70</v>
      </c>
      <c r="I10" t="s">
        <v>71</v>
      </c>
      <c r="J10" t="s">
        <v>83</v>
      </c>
      <c r="K10" t="s">
        <v>84</v>
      </c>
      <c r="L10">
        <v>90032</v>
      </c>
      <c r="M10" t="s">
        <v>20</v>
      </c>
      <c r="N10" t="s">
        <v>106</v>
      </c>
      <c r="O10" t="s">
        <v>8</v>
      </c>
      <c r="P10" t="s">
        <v>29</v>
      </c>
      <c r="Q10" t="s">
        <v>107</v>
      </c>
      <c r="R10">
        <v>18.504000000000001</v>
      </c>
      <c r="S10">
        <f>Table2[[#This Row],[Ship Date]]-Table2[[#This Row],[Order Date]]</f>
        <v>5</v>
      </c>
      <c r="W10">
        <f>COUNTA(_xlfn.UNIQUE(F2:F150))</f>
        <v>69</v>
      </c>
    </row>
    <row r="11" spans="1:23" x14ac:dyDescent="0.3">
      <c r="A11">
        <v>10</v>
      </c>
      <c r="B11" t="s">
        <v>97</v>
      </c>
      <c r="C11" s="1">
        <v>42164</v>
      </c>
      <c r="D11" s="1">
        <v>42169</v>
      </c>
      <c r="E11" t="s">
        <v>88</v>
      </c>
      <c r="F11" t="s">
        <v>98</v>
      </c>
      <c r="G11" t="s">
        <v>99</v>
      </c>
      <c r="H11" t="s">
        <v>70</v>
      </c>
      <c r="I11" t="s">
        <v>71</v>
      </c>
      <c r="J11" t="s">
        <v>83</v>
      </c>
      <c r="K11" t="s">
        <v>84</v>
      </c>
      <c r="L11">
        <v>90032</v>
      </c>
      <c r="M11" t="s">
        <v>20</v>
      </c>
      <c r="N11" t="s">
        <v>108</v>
      </c>
      <c r="O11" t="s">
        <v>8</v>
      </c>
      <c r="P11" t="s">
        <v>32</v>
      </c>
      <c r="Q11" t="s">
        <v>109</v>
      </c>
      <c r="R11">
        <v>114.9</v>
      </c>
      <c r="S11">
        <f>Table2[[#This Row],[Ship Date]]-Table2[[#This Row],[Order Date]]</f>
        <v>5</v>
      </c>
    </row>
    <row r="12" spans="1:23" x14ac:dyDescent="0.3">
      <c r="A12">
        <v>11</v>
      </c>
      <c r="B12" t="s">
        <v>97</v>
      </c>
      <c r="C12" s="1">
        <v>42164</v>
      </c>
      <c r="D12" s="1">
        <v>42169</v>
      </c>
      <c r="E12" t="s">
        <v>88</v>
      </c>
      <c r="F12" t="s">
        <v>98</v>
      </c>
      <c r="G12" t="s">
        <v>99</v>
      </c>
      <c r="H12" t="s">
        <v>70</v>
      </c>
      <c r="I12" t="s">
        <v>71</v>
      </c>
      <c r="J12" t="s">
        <v>83</v>
      </c>
      <c r="K12" t="s">
        <v>84</v>
      </c>
      <c r="L12">
        <v>90032</v>
      </c>
      <c r="M12" t="s">
        <v>20</v>
      </c>
      <c r="N12" t="s">
        <v>110</v>
      </c>
      <c r="O12" t="s">
        <v>13</v>
      </c>
      <c r="P12" t="s">
        <v>45</v>
      </c>
      <c r="Q12" t="s">
        <v>16</v>
      </c>
      <c r="R12">
        <v>1706.184</v>
      </c>
      <c r="S12">
        <f>Table2[[#This Row],[Ship Date]]-Table2[[#This Row],[Order Date]]</f>
        <v>5</v>
      </c>
      <c r="W12" t="s">
        <v>633</v>
      </c>
    </row>
    <row r="13" spans="1:23" x14ac:dyDescent="0.3">
      <c r="A13">
        <v>12</v>
      </c>
      <c r="B13" t="s">
        <v>97</v>
      </c>
      <c r="C13" s="1">
        <v>42164</v>
      </c>
      <c r="D13" s="1">
        <v>42169</v>
      </c>
      <c r="E13" t="s">
        <v>88</v>
      </c>
      <c r="F13" t="s">
        <v>98</v>
      </c>
      <c r="G13" t="s">
        <v>99</v>
      </c>
      <c r="H13" t="s">
        <v>70</v>
      </c>
      <c r="I13" t="s">
        <v>71</v>
      </c>
      <c r="J13" t="s">
        <v>83</v>
      </c>
      <c r="K13" t="s">
        <v>84</v>
      </c>
      <c r="L13">
        <v>90032</v>
      </c>
      <c r="M13" t="s">
        <v>20</v>
      </c>
      <c r="N13" t="s">
        <v>111</v>
      </c>
      <c r="O13" t="s">
        <v>3</v>
      </c>
      <c r="P13" t="s">
        <v>46</v>
      </c>
      <c r="Q13" t="s">
        <v>27</v>
      </c>
      <c r="R13">
        <v>911.42399999999998</v>
      </c>
      <c r="S13">
        <f>Table2[[#This Row],[Ship Date]]-Table2[[#This Row],[Order Date]]</f>
        <v>5</v>
      </c>
      <c r="W13" s="4">
        <f>AVERAGE(S2:S150)</f>
        <v>4.2281879194630871</v>
      </c>
    </row>
    <row r="14" spans="1:23" x14ac:dyDescent="0.3">
      <c r="A14">
        <v>13</v>
      </c>
      <c r="B14" t="s">
        <v>112</v>
      </c>
      <c r="C14" s="1">
        <v>43205</v>
      </c>
      <c r="D14" s="1">
        <v>43210</v>
      </c>
      <c r="E14" t="s">
        <v>88</v>
      </c>
      <c r="F14" t="s">
        <v>113</v>
      </c>
      <c r="G14" t="s">
        <v>114</v>
      </c>
      <c r="H14" t="s">
        <v>70</v>
      </c>
      <c r="I14" t="s">
        <v>71</v>
      </c>
      <c r="J14" t="s">
        <v>115</v>
      </c>
      <c r="K14" t="s">
        <v>116</v>
      </c>
      <c r="L14">
        <v>28027</v>
      </c>
      <c r="M14" t="s">
        <v>15</v>
      </c>
      <c r="N14" t="s">
        <v>117</v>
      </c>
      <c r="O14" t="s">
        <v>8</v>
      </c>
      <c r="P14" t="s">
        <v>23</v>
      </c>
      <c r="Q14" t="s">
        <v>118</v>
      </c>
      <c r="R14">
        <v>15.552</v>
      </c>
      <c r="S14">
        <f>Table2[[#This Row],[Ship Date]]-Table2[[#This Row],[Order Date]]</f>
        <v>5</v>
      </c>
    </row>
    <row r="15" spans="1:23" x14ac:dyDescent="0.3">
      <c r="A15">
        <v>14</v>
      </c>
      <c r="B15" t="s">
        <v>119</v>
      </c>
      <c r="C15" s="1">
        <v>43074</v>
      </c>
      <c r="D15" s="1">
        <v>43079</v>
      </c>
      <c r="E15" t="s">
        <v>88</v>
      </c>
      <c r="F15" t="s">
        <v>120</v>
      </c>
      <c r="G15" t="s">
        <v>121</v>
      </c>
      <c r="H15" t="s">
        <v>70</v>
      </c>
      <c r="I15" t="s">
        <v>71</v>
      </c>
      <c r="J15" t="s">
        <v>122</v>
      </c>
      <c r="K15" t="s">
        <v>123</v>
      </c>
      <c r="L15">
        <v>98103</v>
      </c>
      <c r="M15" t="s">
        <v>20</v>
      </c>
      <c r="N15" t="s">
        <v>124</v>
      </c>
      <c r="O15" t="s">
        <v>8</v>
      </c>
      <c r="P15" t="s">
        <v>29</v>
      </c>
      <c r="Q15" t="s">
        <v>125</v>
      </c>
      <c r="R15">
        <v>407.976</v>
      </c>
      <c r="S15">
        <f>Table2[[#This Row],[Ship Date]]-Table2[[#This Row],[Order Date]]</f>
        <v>5</v>
      </c>
      <c r="W15" t="s">
        <v>634</v>
      </c>
    </row>
    <row r="16" spans="1:23" x14ac:dyDescent="0.3">
      <c r="A16">
        <v>15</v>
      </c>
      <c r="B16" t="s">
        <v>126</v>
      </c>
      <c r="C16" s="1">
        <v>42696</v>
      </c>
      <c r="D16" s="1">
        <v>42700</v>
      </c>
      <c r="E16" t="s">
        <v>88</v>
      </c>
      <c r="F16" t="s">
        <v>127</v>
      </c>
      <c r="G16" t="s">
        <v>128</v>
      </c>
      <c r="H16" t="s">
        <v>129</v>
      </c>
      <c r="I16" t="s">
        <v>71</v>
      </c>
      <c r="J16" t="s">
        <v>130</v>
      </c>
      <c r="K16" t="s">
        <v>131</v>
      </c>
      <c r="L16">
        <v>76106</v>
      </c>
      <c r="M16" t="s">
        <v>5</v>
      </c>
      <c r="N16" t="s">
        <v>132</v>
      </c>
      <c r="O16" t="s">
        <v>8</v>
      </c>
      <c r="P16" t="s">
        <v>32</v>
      </c>
      <c r="Q16" t="s">
        <v>133</v>
      </c>
      <c r="R16">
        <v>68.81</v>
      </c>
      <c r="S16">
        <f>Table2[[#This Row],[Ship Date]]-Table2[[#This Row],[Order Date]]</f>
        <v>4</v>
      </c>
      <c r="W16" s="5">
        <f>AVERAGE(R2:R150)</f>
        <v>193.37823959731546</v>
      </c>
    </row>
    <row r="17" spans="1:19" x14ac:dyDescent="0.3">
      <c r="A17">
        <v>16</v>
      </c>
      <c r="B17" t="s">
        <v>126</v>
      </c>
      <c r="C17" s="1">
        <v>42696</v>
      </c>
      <c r="D17" s="1">
        <v>42700</v>
      </c>
      <c r="E17" t="s">
        <v>88</v>
      </c>
      <c r="F17" t="s">
        <v>127</v>
      </c>
      <c r="G17" t="s">
        <v>128</v>
      </c>
      <c r="H17" t="s">
        <v>129</v>
      </c>
      <c r="I17" t="s">
        <v>71</v>
      </c>
      <c r="J17" t="s">
        <v>130</v>
      </c>
      <c r="K17" t="s">
        <v>131</v>
      </c>
      <c r="L17">
        <v>76106</v>
      </c>
      <c r="M17" t="s">
        <v>5</v>
      </c>
      <c r="N17" t="s">
        <v>134</v>
      </c>
      <c r="O17" t="s">
        <v>8</v>
      </c>
      <c r="P17" t="s">
        <v>29</v>
      </c>
      <c r="Q17" t="s">
        <v>135</v>
      </c>
      <c r="R17">
        <v>2.544</v>
      </c>
      <c r="S17">
        <f>Table2[[#This Row],[Ship Date]]-Table2[[#This Row],[Order Date]]</f>
        <v>4</v>
      </c>
    </row>
    <row r="18" spans="1:19" x14ac:dyDescent="0.3">
      <c r="A18">
        <v>17</v>
      </c>
      <c r="B18" t="s">
        <v>136</v>
      </c>
      <c r="C18" s="1">
        <v>42319</v>
      </c>
      <c r="D18" s="1">
        <v>42326</v>
      </c>
      <c r="E18" t="s">
        <v>88</v>
      </c>
      <c r="F18" t="s">
        <v>137</v>
      </c>
      <c r="G18" t="s">
        <v>138</v>
      </c>
      <c r="H18" t="s">
        <v>70</v>
      </c>
      <c r="I18" t="s">
        <v>71</v>
      </c>
      <c r="J18" t="s">
        <v>139</v>
      </c>
      <c r="K18" t="s">
        <v>140</v>
      </c>
      <c r="L18">
        <v>53711</v>
      </c>
      <c r="M18" t="s">
        <v>5</v>
      </c>
      <c r="N18" t="s">
        <v>141</v>
      </c>
      <c r="O18" t="s">
        <v>8</v>
      </c>
      <c r="P18" t="s">
        <v>41</v>
      </c>
      <c r="Q18" t="s">
        <v>142</v>
      </c>
      <c r="R18">
        <v>665.88</v>
      </c>
      <c r="S18">
        <f>Table2[[#This Row],[Ship Date]]-Table2[[#This Row],[Order Date]]</f>
        <v>7</v>
      </c>
    </row>
    <row r="19" spans="1:19" x14ac:dyDescent="0.3">
      <c r="A19">
        <v>18</v>
      </c>
      <c r="B19" t="s">
        <v>143</v>
      </c>
      <c r="C19" s="1">
        <v>42137</v>
      </c>
      <c r="D19" s="1">
        <v>42139</v>
      </c>
      <c r="E19" t="s">
        <v>67</v>
      </c>
      <c r="F19" t="s">
        <v>144</v>
      </c>
      <c r="G19" t="s">
        <v>145</v>
      </c>
      <c r="H19" t="s">
        <v>70</v>
      </c>
      <c r="I19" t="s">
        <v>71</v>
      </c>
      <c r="J19" t="s">
        <v>146</v>
      </c>
      <c r="K19" t="s">
        <v>147</v>
      </c>
      <c r="L19">
        <v>84084</v>
      </c>
      <c r="M19" t="s">
        <v>20</v>
      </c>
      <c r="N19" t="s">
        <v>148</v>
      </c>
      <c r="O19" t="s">
        <v>8</v>
      </c>
      <c r="P19" t="s">
        <v>41</v>
      </c>
      <c r="Q19" t="s">
        <v>149</v>
      </c>
      <c r="R19">
        <v>55.5</v>
      </c>
      <c r="S19">
        <f>Table2[[#This Row],[Ship Date]]-Table2[[#This Row],[Order Date]]</f>
        <v>2</v>
      </c>
    </row>
    <row r="20" spans="1:19" x14ac:dyDescent="0.3">
      <c r="A20">
        <v>19</v>
      </c>
      <c r="B20" t="s">
        <v>150</v>
      </c>
      <c r="C20" s="1">
        <v>42243</v>
      </c>
      <c r="D20" s="1">
        <v>42248</v>
      </c>
      <c r="E20" t="s">
        <v>67</v>
      </c>
      <c r="F20" t="s">
        <v>151</v>
      </c>
      <c r="G20" t="s">
        <v>152</v>
      </c>
      <c r="H20" t="s">
        <v>70</v>
      </c>
      <c r="I20" t="s">
        <v>71</v>
      </c>
      <c r="J20" t="s">
        <v>153</v>
      </c>
      <c r="K20" t="s">
        <v>84</v>
      </c>
      <c r="L20">
        <v>94109</v>
      </c>
      <c r="M20" t="s">
        <v>20</v>
      </c>
      <c r="N20" t="s">
        <v>154</v>
      </c>
      <c r="O20" t="s">
        <v>8</v>
      </c>
      <c r="P20" t="s">
        <v>38</v>
      </c>
      <c r="Q20" t="s">
        <v>155</v>
      </c>
      <c r="R20">
        <v>8.56</v>
      </c>
      <c r="S20">
        <f>Table2[[#This Row],[Ship Date]]-Table2[[#This Row],[Order Date]]</f>
        <v>5</v>
      </c>
    </row>
    <row r="21" spans="1:19" x14ac:dyDescent="0.3">
      <c r="A21">
        <v>20</v>
      </c>
      <c r="B21" t="s">
        <v>150</v>
      </c>
      <c r="C21" s="1">
        <v>42243</v>
      </c>
      <c r="D21" s="1">
        <v>42248</v>
      </c>
      <c r="E21" t="s">
        <v>67</v>
      </c>
      <c r="F21" t="s">
        <v>151</v>
      </c>
      <c r="G21" t="s">
        <v>152</v>
      </c>
      <c r="H21" t="s">
        <v>70</v>
      </c>
      <c r="I21" t="s">
        <v>71</v>
      </c>
      <c r="J21" t="s">
        <v>153</v>
      </c>
      <c r="K21" t="s">
        <v>84</v>
      </c>
      <c r="L21">
        <v>94109</v>
      </c>
      <c r="M21" t="s">
        <v>20</v>
      </c>
      <c r="N21" t="s">
        <v>156</v>
      </c>
      <c r="O21" t="s">
        <v>3</v>
      </c>
      <c r="P21" t="s">
        <v>46</v>
      </c>
      <c r="Q21" t="s">
        <v>157</v>
      </c>
      <c r="R21">
        <v>213.48</v>
      </c>
      <c r="S21">
        <f>Table2[[#This Row],[Ship Date]]-Table2[[#This Row],[Order Date]]</f>
        <v>5</v>
      </c>
    </row>
    <row r="22" spans="1:19" x14ac:dyDescent="0.3">
      <c r="A22">
        <v>21</v>
      </c>
      <c r="B22" t="s">
        <v>150</v>
      </c>
      <c r="C22" s="1">
        <v>42243</v>
      </c>
      <c r="D22" s="1">
        <v>42248</v>
      </c>
      <c r="E22" t="s">
        <v>67</v>
      </c>
      <c r="F22" t="s">
        <v>151</v>
      </c>
      <c r="G22" t="s">
        <v>152</v>
      </c>
      <c r="H22" t="s">
        <v>70</v>
      </c>
      <c r="I22" t="s">
        <v>71</v>
      </c>
      <c r="J22" t="s">
        <v>153</v>
      </c>
      <c r="K22" t="s">
        <v>84</v>
      </c>
      <c r="L22">
        <v>94109</v>
      </c>
      <c r="M22" t="s">
        <v>20</v>
      </c>
      <c r="N22" t="s">
        <v>158</v>
      </c>
      <c r="O22" t="s">
        <v>8</v>
      </c>
      <c r="P22" t="s">
        <v>29</v>
      </c>
      <c r="Q22" t="s">
        <v>159</v>
      </c>
      <c r="R22">
        <v>22.72</v>
      </c>
      <c r="S22">
        <f>Table2[[#This Row],[Ship Date]]-Table2[[#This Row],[Order Date]]</f>
        <v>5</v>
      </c>
    </row>
    <row r="23" spans="1:19" x14ac:dyDescent="0.3">
      <c r="A23">
        <v>22</v>
      </c>
      <c r="B23" t="s">
        <v>160</v>
      </c>
      <c r="C23" s="1">
        <v>43078</v>
      </c>
      <c r="D23" s="1">
        <v>43082</v>
      </c>
      <c r="E23" t="s">
        <v>88</v>
      </c>
      <c r="F23" t="s">
        <v>161</v>
      </c>
      <c r="G23" t="s">
        <v>162</v>
      </c>
      <c r="H23" t="s">
        <v>82</v>
      </c>
      <c r="I23" t="s">
        <v>71</v>
      </c>
      <c r="J23" t="s">
        <v>163</v>
      </c>
      <c r="K23" t="s">
        <v>164</v>
      </c>
      <c r="L23">
        <v>68025</v>
      </c>
      <c r="M23" t="s">
        <v>5</v>
      </c>
      <c r="N23" t="s">
        <v>165</v>
      </c>
      <c r="O23" t="s">
        <v>8</v>
      </c>
      <c r="P23" t="s">
        <v>38</v>
      </c>
      <c r="Q23" t="s">
        <v>166</v>
      </c>
      <c r="R23">
        <v>19.46</v>
      </c>
      <c r="S23">
        <f>Table2[[#This Row],[Ship Date]]-Table2[[#This Row],[Order Date]]</f>
        <v>4</v>
      </c>
    </row>
    <row r="24" spans="1:19" x14ac:dyDescent="0.3">
      <c r="A24">
        <v>23</v>
      </c>
      <c r="B24" t="s">
        <v>160</v>
      </c>
      <c r="C24" s="1">
        <v>43078</v>
      </c>
      <c r="D24" s="1">
        <v>43082</v>
      </c>
      <c r="E24" t="s">
        <v>88</v>
      </c>
      <c r="F24" t="s">
        <v>161</v>
      </c>
      <c r="G24" t="s">
        <v>162</v>
      </c>
      <c r="H24" t="s">
        <v>82</v>
      </c>
      <c r="I24" t="s">
        <v>71</v>
      </c>
      <c r="J24" t="s">
        <v>163</v>
      </c>
      <c r="K24" t="s">
        <v>164</v>
      </c>
      <c r="L24">
        <v>68025</v>
      </c>
      <c r="M24" t="s">
        <v>5</v>
      </c>
      <c r="N24" t="s">
        <v>167</v>
      </c>
      <c r="O24" t="s">
        <v>8</v>
      </c>
      <c r="P24" t="s">
        <v>32</v>
      </c>
      <c r="Q24" t="s">
        <v>168</v>
      </c>
      <c r="R24">
        <v>60.34</v>
      </c>
      <c r="S24">
        <f>Table2[[#This Row],[Ship Date]]-Table2[[#This Row],[Order Date]]</f>
        <v>4</v>
      </c>
    </row>
    <row r="25" spans="1:19" x14ac:dyDescent="0.3">
      <c r="A25">
        <v>24</v>
      </c>
      <c r="B25" t="s">
        <v>169</v>
      </c>
      <c r="C25" s="1">
        <v>43297</v>
      </c>
      <c r="D25" s="1">
        <v>43299</v>
      </c>
      <c r="E25" t="s">
        <v>67</v>
      </c>
      <c r="F25" t="s">
        <v>170</v>
      </c>
      <c r="G25" t="s">
        <v>171</v>
      </c>
      <c r="H25" t="s">
        <v>70</v>
      </c>
      <c r="I25" t="s">
        <v>71</v>
      </c>
      <c r="J25" t="s">
        <v>172</v>
      </c>
      <c r="K25" t="s">
        <v>173</v>
      </c>
      <c r="L25">
        <v>19140</v>
      </c>
      <c r="M25" t="s">
        <v>10</v>
      </c>
      <c r="N25" t="s">
        <v>174</v>
      </c>
      <c r="O25" t="s">
        <v>13</v>
      </c>
      <c r="P25" t="s">
        <v>43</v>
      </c>
      <c r="Q25" t="s">
        <v>175</v>
      </c>
      <c r="R25">
        <v>71.372</v>
      </c>
      <c r="S25">
        <f>Table2[[#This Row],[Ship Date]]-Table2[[#This Row],[Order Date]]</f>
        <v>2</v>
      </c>
    </row>
    <row r="26" spans="1:19" x14ac:dyDescent="0.3">
      <c r="A26">
        <v>25</v>
      </c>
      <c r="B26" t="s">
        <v>176</v>
      </c>
      <c r="C26" s="1">
        <v>42638</v>
      </c>
      <c r="D26" s="1">
        <v>42643</v>
      </c>
      <c r="E26" t="s">
        <v>88</v>
      </c>
      <c r="F26" t="s">
        <v>177</v>
      </c>
      <c r="G26" t="s">
        <v>178</v>
      </c>
      <c r="H26" t="s">
        <v>70</v>
      </c>
      <c r="I26" t="s">
        <v>71</v>
      </c>
      <c r="J26" t="s">
        <v>179</v>
      </c>
      <c r="K26" t="s">
        <v>147</v>
      </c>
      <c r="L26">
        <v>84057</v>
      </c>
      <c r="M26" t="s">
        <v>20</v>
      </c>
      <c r="N26" t="s">
        <v>93</v>
      </c>
      <c r="O26" t="s">
        <v>13</v>
      </c>
      <c r="P26" t="s">
        <v>45</v>
      </c>
      <c r="Q26" t="s">
        <v>11</v>
      </c>
      <c r="R26">
        <v>1044.6300000000001</v>
      </c>
      <c r="S26">
        <f>Table2[[#This Row],[Ship Date]]-Table2[[#This Row],[Order Date]]</f>
        <v>5</v>
      </c>
    </row>
    <row r="27" spans="1:19" x14ac:dyDescent="0.3">
      <c r="A27">
        <v>26</v>
      </c>
      <c r="B27" t="s">
        <v>180</v>
      </c>
      <c r="C27" s="1">
        <v>42751</v>
      </c>
      <c r="D27" s="1">
        <v>42755</v>
      </c>
      <c r="E27" t="s">
        <v>67</v>
      </c>
      <c r="F27" t="s">
        <v>181</v>
      </c>
      <c r="G27" t="s">
        <v>182</v>
      </c>
      <c r="H27" t="s">
        <v>70</v>
      </c>
      <c r="I27" t="s">
        <v>71</v>
      </c>
      <c r="J27" t="s">
        <v>83</v>
      </c>
      <c r="K27" t="s">
        <v>84</v>
      </c>
      <c r="L27">
        <v>90049</v>
      </c>
      <c r="M27" t="s">
        <v>20</v>
      </c>
      <c r="N27" t="s">
        <v>183</v>
      </c>
      <c r="O27" t="s">
        <v>8</v>
      </c>
      <c r="P27" t="s">
        <v>29</v>
      </c>
      <c r="Q27" t="s">
        <v>184</v>
      </c>
      <c r="R27">
        <v>11.648</v>
      </c>
      <c r="S27">
        <f>Table2[[#This Row],[Ship Date]]-Table2[[#This Row],[Order Date]]</f>
        <v>4</v>
      </c>
    </row>
    <row r="28" spans="1:19" x14ac:dyDescent="0.3">
      <c r="A28">
        <v>27</v>
      </c>
      <c r="B28" t="s">
        <v>180</v>
      </c>
      <c r="C28" s="1">
        <v>42751</v>
      </c>
      <c r="D28" s="1">
        <v>42755</v>
      </c>
      <c r="E28" t="s">
        <v>67</v>
      </c>
      <c r="F28" t="s">
        <v>181</v>
      </c>
      <c r="G28" t="s">
        <v>182</v>
      </c>
      <c r="H28" t="s">
        <v>70</v>
      </c>
      <c r="I28" t="s">
        <v>71</v>
      </c>
      <c r="J28" t="s">
        <v>83</v>
      </c>
      <c r="K28" t="s">
        <v>84</v>
      </c>
      <c r="L28">
        <v>90049</v>
      </c>
      <c r="M28" t="s">
        <v>20</v>
      </c>
      <c r="N28" t="s">
        <v>185</v>
      </c>
      <c r="O28" t="s">
        <v>3</v>
      </c>
      <c r="P28" t="s">
        <v>26</v>
      </c>
      <c r="Q28" t="s">
        <v>186</v>
      </c>
      <c r="R28">
        <v>90.57</v>
      </c>
      <c r="S28">
        <f>Table2[[#This Row],[Ship Date]]-Table2[[#This Row],[Order Date]]</f>
        <v>4</v>
      </c>
    </row>
    <row r="29" spans="1:19" x14ac:dyDescent="0.3">
      <c r="A29">
        <v>28</v>
      </c>
      <c r="B29" t="s">
        <v>187</v>
      </c>
      <c r="C29" s="1">
        <v>42630</v>
      </c>
      <c r="D29" s="1">
        <v>42634</v>
      </c>
      <c r="E29" t="s">
        <v>88</v>
      </c>
      <c r="F29" t="s">
        <v>188</v>
      </c>
      <c r="G29" t="s">
        <v>189</v>
      </c>
      <c r="H29" t="s">
        <v>70</v>
      </c>
      <c r="I29" t="s">
        <v>71</v>
      </c>
      <c r="J29" t="s">
        <v>172</v>
      </c>
      <c r="K29" t="s">
        <v>173</v>
      </c>
      <c r="L29">
        <v>19140</v>
      </c>
      <c r="M29" t="s">
        <v>10</v>
      </c>
      <c r="N29" t="s">
        <v>190</v>
      </c>
      <c r="O29" t="s">
        <v>13</v>
      </c>
      <c r="P29" t="s">
        <v>44</v>
      </c>
      <c r="Q29" t="s">
        <v>33</v>
      </c>
      <c r="R29">
        <v>3083.43</v>
      </c>
      <c r="S29">
        <f>Table2[[#This Row],[Ship Date]]-Table2[[#This Row],[Order Date]]</f>
        <v>4</v>
      </c>
    </row>
    <row r="30" spans="1:19" x14ac:dyDescent="0.3">
      <c r="A30">
        <v>29</v>
      </c>
      <c r="B30" t="s">
        <v>187</v>
      </c>
      <c r="C30" s="1">
        <v>42630</v>
      </c>
      <c r="D30" s="1">
        <v>42634</v>
      </c>
      <c r="E30" t="s">
        <v>88</v>
      </c>
      <c r="F30" t="s">
        <v>188</v>
      </c>
      <c r="G30" t="s">
        <v>189</v>
      </c>
      <c r="H30" t="s">
        <v>70</v>
      </c>
      <c r="I30" t="s">
        <v>71</v>
      </c>
      <c r="J30" t="s">
        <v>172</v>
      </c>
      <c r="K30" t="s">
        <v>173</v>
      </c>
      <c r="L30">
        <v>19140</v>
      </c>
      <c r="M30" t="s">
        <v>10</v>
      </c>
      <c r="N30" t="s">
        <v>191</v>
      </c>
      <c r="O30" t="s">
        <v>8</v>
      </c>
      <c r="P30" t="s">
        <v>29</v>
      </c>
      <c r="Q30" t="s">
        <v>192</v>
      </c>
      <c r="R30">
        <v>9.6180000000000003</v>
      </c>
      <c r="S30">
        <f>Table2[[#This Row],[Ship Date]]-Table2[[#This Row],[Order Date]]</f>
        <v>4</v>
      </c>
    </row>
    <row r="31" spans="1:19" x14ac:dyDescent="0.3">
      <c r="A31">
        <v>30</v>
      </c>
      <c r="B31" t="s">
        <v>187</v>
      </c>
      <c r="C31" s="1">
        <v>42630</v>
      </c>
      <c r="D31" s="1">
        <v>42634</v>
      </c>
      <c r="E31" t="s">
        <v>88</v>
      </c>
      <c r="F31" t="s">
        <v>188</v>
      </c>
      <c r="G31" t="s">
        <v>189</v>
      </c>
      <c r="H31" t="s">
        <v>70</v>
      </c>
      <c r="I31" t="s">
        <v>71</v>
      </c>
      <c r="J31" t="s">
        <v>172</v>
      </c>
      <c r="K31" t="s">
        <v>173</v>
      </c>
      <c r="L31">
        <v>19140</v>
      </c>
      <c r="M31" t="s">
        <v>10</v>
      </c>
      <c r="N31" t="s">
        <v>193</v>
      </c>
      <c r="O31" t="s">
        <v>13</v>
      </c>
      <c r="P31" t="s">
        <v>35</v>
      </c>
      <c r="Q31" t="s">
        <v>194</v>
      </c>
      <c r="R31">
        <v>124.2</v>
      </c>
      <c r="S31">
        <f>Table2[[#This Row],[Ship Date]]-Table2[[#This Row],[Order Date]]</f>
        <v>4</v>
      </c>
    </row>
    <row r="32" spans="1:19" x14ac:dyDescent="0.3">
      <c r="A32">
        <v>31</v>
      </c>
      <c r="B32" t="s">
        <v>187</v>
      </c>
      <c r="C32" s="1">
        <v>42630</v>
      </c>
      <c r="D32" s="1">
        <v>42634</v>
      </c>
      <c r="E32" t="s">
        <v>88</v>
      </c>
      <c r="F32" t="s">
        <v>188</v>
      </c>
      <c r="G32" t="s">
        <v>189</v>
      </c>
      <c r="H32" t="s">
        <v>70</v>
      </c>
      <c r="I32" t="s">
        <v>71</v>
      </c>
      <c r="J32" t="s">
        <v>172</v>
      </c>
      <c r="K32" t="s">
        <v>173</v>
      </c>
      <c r="L32">
        <v>19140</v>
      </c>
      <c r="M32" t="s">
        <v>10</v>
      </c>
      <c r="N32" t="s">
        <v>195</v>
      </c>
      <c r="O32" t="s">
        <v>8</v>
      </c>
      <c r="P32" t="s">
        <v>19</v>
      </c>
      <c r="Q32" t="s">
        <v>196</v>
      </c>
      <c r="R32">
        <v>3.2639999999999998</v>
      </c>
      <c r="S32">
        <f>Table2[[#This Row],[Ship Date]]-Table2[[#This Row],[Order Date]]</f>
        <v>4</v>
      </c>
    </row>
    <row r="33" spans="1:19" x14ac:dyDescent="0.3">
      <c r="A33">
        <v>32</v>
      </c>
      <c r="B33" t="s">
        <v>187</v>
      </c>
      <c r="C33" s="1">
        <v>42630</v>
      </c>
      <c r="D33" s="1">
        <v>42634</v>
      </c>
      <c r="E33" t="s">
        <v>88</v>
      </c>
      <c r="F33" t="s">
        <v>188</v>
      </c>
      <c r="G33" t="s">
        <v>189</v>
      </c>
      <c r="H33" t="s">
        <v>70</v>
      </c>
      <c r="I33" t="s">
        <v>71</v>
      </c>
      <c r="J33" t="s">
        <v>172</v>
      </c>
      <c r="K33" t="s">
        <v>173</v>
      </c>
      <c r="L33">
        <v>19140</v>
      </c>
      <c r="M33" t="s">
        <v>10</v>
      </c>
      <c r="N33" t="s">
        <v>197</v>
      </c>
      <c r="O33" t="s">
        <v>8</v>
      </c>
      <c r="P33" t="s">
        <v>38</v>
      </c>
      <c r="Q33" t="s">
        <v>198</v>
      </c>
      <c r="R33">
        <v>86.304000000000002</v>
      </c>
      <c r="S33">
        <f>Table2[[#This Row],[Ship Date]]-Table2[[#This Row],[Order Date]]</f>
        <v>4</v>
      </c>
    </row>
    <row r="34" spans="1:19" x14ac:dyDescent="0.3">
      <c r="A34">
        <v>33</v>
      </c>
      <c r="B34" t="s">
        <v>187</v>
      </c>
      <c r="C34" s="1">
        <v>42630</v>
      </c>
      <c r="D34" s="1">
        <v>42634</v>
      </c>
      <c r="E34" t="s">
        <v>88</v>
      </c>
      <c r="F34" t="s">
        <v>188</v>
      </c>
      <c r="G34" t="s">
        <v>189</v>
      </c>
      <c r="H34" t="s">
        <v>70</v>
      </c>
      <c r="I34" t="s">
        <v>71</v>
      </c>
      <c r="J34" t="s">
        <v>172</v>
      </c>
      <c r="K34" t="s">
        <v>173</v>
      </c>
      <c r="L34">
        <v>19140</v>
      </c>
      <c r="M34" t="s">
        <v>10</v>
      </c>
      <c r="N34" t="s">
        <v>199</v>
      </c>
      <c r="O34" t="s">
        <v>8</v>
      </c>
      <c r="P34" t="s">
        <v>29</v>
      </c>
      <c r="Q34" t="s">
        <v>200</v>
      </c>
      <c r="R34">
        <v>6.8579999999999997</v>
      </c>
      <c r="S34">
        <f>Table2[[#This Row],[Ship Date]]-Table2[[#This Row],[Order Date]]</f>
        <v>4</v>
      </c>
    </row>
    <row r="35" spans="1:19" x14ac:dyDescent="0.3">
      <c r="A35">
        <v>34</v>
      </c>
      <c r="B35" t="s">
        <v>187</v>
      </c>
      <c r="C35" s="1">
        <v>42630</v>
      </c>
      <c r="D35" s="1">
        <v>42634</v>
      </c>
      <c r="E35" t="s">
        <v>88</v>
      </c>
      <c r="F35" t="s">
        <v>188</v>
      </c>
      <c r="G35" t="s">
        <v>189</v>
      </c>
      <c r="H35" t="s">
        <v>70</v>
      </c>
      <c r="I35" t="s">
        <v>71</v>
      </c>
      <c r="J35" t="s">
        <v>172</v>
      </c>
      <c r="K35" t="s">
        <v>173</v>
      </c>
      <c r="L35">
        <v>19140</v>
      </c>
      <c r="M35" t="s">
        <v>10</v>
      </c>
      <c r="N35" t="s">
        <v>201</v>
      </c>
      <c r="O35" t="s">
        <v>8</v>
      </c>
      <c r="P35" t="s">
        <v>38</v>
      </c>
      <c r="Q35" t="s">
        <v>202</v>
      </c>
      <c r="R35">
        <v>15.76</v>
      </c>
      <c r="S35">
        <f>Table2[[#This Row],[Ship Date]]-Table2[[#This Row],[Order Date]]</f>
        <v>4</v>
      </c>
    </row>
    <row r="36" spans="1:19" x14ac:dyDescent="0.3">
      <c r="A36">
        <v>35</v>
      </c>
      <c r="B36" t="s">
        <v>203</v>
      </c>
      <c r="C36" s="1">
        <v>43392</v>
      </c>
      <c r="D36" s="1">
        <v>43396</v>
      </c>
      <c r="E36" t="s">
        <v>67</v>
      </c>
      <c r="F36" t="s">
        <v>204</v>
      </c>
      <c r="G36" t="s">
        <v>205</v>
      </c>
      <c r="H36" t="s">
        <v>129</v>
      </c>
      <c r="I36" t="s">
        <v>71</v>
      </c>
      <c r="J36" t="s">
        <v>206</v>
      </c>
      <c r="K36" t="s">
        <v>131</v>
      </c>
      <c r="L36">
        <v>77095</v>
      </c>
      <c r="M36" t="s">
        <v>5</v>
      </c>
      <c r="N36" t="s">
        <v>207</v>
      </c>
      <c r="O36" t="s">
        <v>8</v>
      </c>
      <c r="P36" t="s">
        <v>23</v>
      </c>
      <c r="Q36" t="s">
        <v>208</v>
      </c>
      <c r="R36">
        <v>29.472000000000001</v>
      </c>
      <c r="S36">
        <f>Table2[[#This Row],[Ship Date]]-Table2[[#This Row],[Order Date]]</f>
        <v>4</v>
      </c>
    </row>
    <row r="37" spans="1:19" x14ac:dyDescent="0.3">
      <c r="A37">
        <v>36</v>
      </c>
      <c r="B37" t="s">
        <v>209</v>
      </c>
      <c r="C37" s="1">
        <v>43077</v>
      </c>
      <c r="D37" s="1">
        <v>43079</v>
      </c>
      <c r="E37" t="s">
        <v>210</v>
      </c>
      <c r="F37" t="s">
        <v>211</v>
      </c>
      <c r="G37" t="s">
        <v>212</v>
      </c>
      <c r="H37" t="s">
        <v>82</v>
      </c>
      <c r="I37" t="s">
        <v>71</v>
      </c>
      <c r="J37" t="s">
        <v>213</v>
      </c>
      <c r="K37" t="s">
        <v>131</v>
      </c>
      <c r="L37">
        <v>75080</v>
      </c>
      <c r="M37" t="s">
        <v>5</v>
      </c>
      <c r="N37" t="s">
        <v>214</v>
      </c>
      <c r="O37" t="s">
        <v>3</v>
      </c>
      <c r="P37" t="s">
        <v>46</v>
      </c>
      <c r="Q37" t="s">
        <v>21</v>
      </c>
      <c r="R37">
        <v>1097.5440000000001</v>
      </c>
      <c r="S37">
        <f>Table2[[#This Row],[Ship Date]]-Table2[[#This Row],[Order Date]]</f>
        <v>2</v>
      </c>
    </row>
    <row r="38" spans="1:19" x14ac:dyDescent="0.3">
      <c r="A38">
        <v>37</v>
      </c>
      <c r="B38" t="s">
        <v>209</v>
      </c>
      <c r="C38" s="1">
        <v>43077</v>
      </c>
      <c r="D38" s="1">
        <v>43079</v>
      </c>
      <c r="E38" t="s">
        <v>210</v>
      </c>
      <c r="F38" t="s">
        <v>211</v>
      </c>
      <c r="G38" t="s">
        <v>212</v>
      </c>
      <c r="H38" t="s">
        <v>82</v>
      </c>
      <c r="I38" t="s">
        <v>71</v>
      </c>
      <c r="J38" t="s">
        <v>213</v>
      </c>
      <c r="K38" t="s">
        <v>131</v>
      </c>
      <c r="L38">
        <v>75080</v>
      </c>
      <c r="M38" t="s">
        <v>5</v>
      </c>
      <c r="N38" t="s">
        <v>215</v>
      </c>
      <c r="O38" t="s">
        <v>13</v>
      </c>
      <c r="P38" t="s">
        <v>35</v>
      </c>
      <c r="Q38" t="s">
        <v>216</v>
      </c>
      <c r="R38">
        <v>190.92</v>
      </c>
      <c r="S38">
        <f>Table2[[#This Row],[Ship Date]]-Table2[[#This Row],[Order Date]]</f>
        <v>2</v>
      </c>
    </row>
    <row r="39" spans="1:19" x14ac:dyDescent="0.3">
      <c r="A39">
        <v>38</v>
      </c>
      <c r="B39" t="s">
        <v>217</v>
      </c>
      <c r="C39" s="1">
        <v>42731</v>
      </c>
      <c r="D39" s="1">
        <v>42735</v>
      </c>
      <c r="E39" t="s">
        <v>88</v>
      </c>
      <c r="F39" t="s">
        <v>218</v>
      </c>
      <c r="G39" t="s">
        <v>219</v>
      </c>
      <c r="H39" t="s">
        <v>129</v>
      </c>
      <c r="I39" t="s">
        <v>71</v>
      </c>
      <c r="J39" t="s">
        <v>206</v>
      </c>
      <c r="K39" t="s">
        <v>131</v>
      </c>
      <c r="L39">
        <v>77041</v>
      </c>
      <c r="M39" t="s">
        <v>5</v>
      </c>
      <c r="N39" t="s">
        <v>220</v>
      </c>
      <c r="O39" t="s">
        <v>8</v>
      </c>
      <c r="P39" t="s">
        <v>19</v>
      </c>
      <c r="Q39" t="s">
        <v>221</v>
      </c>
      <c r="R39">
        <v>113.328</v>
      </c>
      <c r="S39">
        <f>Table2[[#This Row],[Ship Date]]-Table2[[#This Row],[Order Date]]</f>
        <v>4</v>
      </c>
    </row>
    <row r="40" spans="1:19" x14ac:dyDescent="0.3">
      <c r="A40">
        <v>39</v>
      </c>
      <c r="B40" t="s">
        <v>217</v>
      </c>
      <c r="C40" s="1">
        <v>42731</v>
      </c>
      <c r="D40" s="1">
        <v>42735</v>
      </c>
      <c r="E40" t="s">
        <v>88</v>
      </c>
      <c r="F40" t="s">
        <v>218</v>
      </c>
      <c r="G40" t="s">
        <v>219</v>
      </c>
      <c r="H40" t="s">
        <v>129</v>
      </c>
      <c r="I40" t="s">
        <v>71</v>
      </c>
      <c r="J40" t="s">
        <v>206</v>
      </c>
      <c r="K40" t="s">
        <v>131</v>
      </c>
      <c r="L40">
        <v>77041</v>
      </c>
      <c r="M40" t="s">
        <v>5</v>
      </c>
      <c r="N40" t="s">
        <v>222</v>
      </c>
      <c r="O40" t="s">
        <v>13</v>
      </c>
      <c r="P40" t="s">
        <v>44</v>
      </c>
      <c r="Q40" t="s">
        <v>223</v>
      </c>
      <c r="R40">
        <v>532.39919999999995</v>
      </c>
      <c r="S40">
        <f>Table2[[#This Row],[Ship Date]]-Table2[[#This Row],[Order Date]]</f>
        <v>4</v>
      </c>
    </row>
    <row r="41" spans="1:19" x14ac:dyDescent="0.3">
      <c r="A41">
        <v>40</v>
      </c>
      <c r="B41" t="s">
        <v>217</v>
      </c>
      <c r="C41" s="1">
        <v>42731</v>
      </c>
      <c r="D41" s="1">
        <v>42735</v>
      </c>
      <c r="E41" t="s">
        <v>88</v>
      </c>
      <c r="F41" t="s">
        <v>218</v>
      </c>
      <c r="G41" t="s">
        <v>219</v>
      </c>
      <c r="H41" t="s">
        <v>129</v>
      </c>
      <c r="I41" t="s">
        <v>71</v>
      </c>
      <c r="J41" t="s">
        <v>206</v>
      </c>
      <c r="K41" t="s">
        <v>131</v>
      </c>
      <c r="L41">
        <v>77041</v>
      </c>
      <c r="M41" t="s">
        <v>5</v>
      </c>
      <c r="N41" t="s">
        <v>224</v>
      </c>
      <c r="O41" t="s">
        <v>13</v>
      </c>
      <c r="P41" t="s">
        <v>43</v>
      </c>
      <c r="Q41" t="s">
        <v>225</v>
      </c>
      <c r="R41">
        <v>212.05799999999999</v>
      </c>
      <c r="S41">
        <f>Table2[[#This Row],[Ship Date]]-Table2[[#This Row],[Order Date]]</f>
        <v>4</v>
      </c>
    </row>
    <row r="42" spans="1:19" x14ac:dyDescent="0.3">
      <c r="A42">
        <v>41</v>
      </c>
      <c r="B42" t="s">
        <v>217</v>
      </c>
      <c r="C42" s="1">
        <v>42731</v>
      </c>
      <c r="D42" s="1">
        <v>42735</v>
      </c>
      <c r="E42" t="s">
        <v>88</v>
      </c>
      <c r="F42" t="s">
        <v>218</v>
      </c>
      <c r="G42" t="s">
        <v>219</v>
      </c>
      <c r="H42" t="s">
        <v>129</v>
      </c>
      <c r="I42" t="s">
        <v>71</v>
      </c>
      <c r="J42" t="s">
        <v>206</v>
      </c>
      <c r="K42" t="s">
        <v>131</v>
      </c>
      <c r="L42">
        <v>77041</v>
      </c>
      <c r="M42" t="s">
        <v>5</v>
      </c>
      <c r="N42" t="s">
        <v>226</v>
      </c>
      <c r="O42" t="s">
        <v>3</v>
      </c>
      <c r="P42" t="s">
        <v>46</v>
      </c>
      <c r="Q42" t="s">
        <v>227</v>
      </c>
      <c r="R42">
        <v>371.16800000000001</v>
      </c>
      <c r="S42">
        <f>Table2[[#This Row],[Ship Date]]-Table2[[#This Row],[Order Date]]</f>
        <v>4</v>
      </c>
    </row>
    <row r="43" spans="1:19" x14ac:dyDescent="0.3">
      <c r="A43">
        <v>42</v>
      </c>
      <c r="B43" t="s">
        <v>228</v>
      </c>
      <c r="C43" s="1">
        <v>43353</v>
      </c>
      <c r="D43" s="1">
        <v>43358</v>
      </c>
      <c r="E43" t="s">
        <v>88</v>
      </c>
      <c r="F43" t="s">
        <v>229</v>
      </c>
      <c r="G43" t="s">
        <v>230</v>
      </c>
      <c r="H43" t="s">
        <v>82</v>
      </c>
      <c r="I43" t="s">
        <v>71</v>
      </c>
      <c r="J43" t="s">
        <v>231</v>
      </c>
      <c r="K43" t="s">
        <v>232</v>
      </c>
      <c r="L43">
        <v>60540</v>
      </c>
      <c r="M43" t="s">
        <v>5</v>
      </c>
      <c r="N43" t="s">
        <v>233</v>
      </c>
      <c r="O43" t="s">
        <v>3</v>
      </c>
      <c r="P43" t="s">
        <v>46</v>
      </c>
      <c r="Q43" t="s">
        <v>234</v>
      </c>
      <c r="R43">
        <v>147.16800000000001</v>
      </c>
      <c r="S43">
        <f>Table2[[#This Row],[Ship Date]]-Table2[[#This Row],[Order Date]]</f>
        <v>5</v>
      </c>
    </row>
    <row r="44" spans="1:19" x14ac:dyDescent="0.3">
      <c r="A44">
        <v>43</v>
      </c>
      <c r="B44" t="s">
        <v>235</v>
      </c>
      <c r="C44" s="1">
        <v>42933</v>
      </c>
      <c r="D44" s="1">
        <v>42938</v>
      </c>
      <c r="E44" t="s">
        <v>88</v>
      </c>
      <c r="F44" t="s">
        <v>236</v>
      </c>
      <c r="G44" t="s">
        <v>237</v>
      </c>
      <c r="H44" t="s">
        <v>82</v>
      </c>
      <c r="I44" t="s">
        <v>71</v>
      </c>
      <c r="J44" t="s">
        <v>83</v>
      </c>
      <c r="K44" t="s">
        <v>84</v>
      </c>
      <c r="L44">
        <v>90049</v>
      </c>
      <c r="M44" t="s">
        <v>20</v>
      </c>
      <c r="N44" t="s">
        <v>238</v>
      </c>
      <c r="O44" t="s">
        <v>8</v>
      </c>
      <c r="P44" t="s">
        <v>41</v>
      </c>
      <c r="Q44" t="s">
        <v>239</v>
      </c>
      <c r="R44">
        <v>77.88</v>
      </c>
      <c r="S44">
        <f>Table2[[#This Row],[Ship Date]]-Table2[[#This Row],[Order Date]]</f>
        <v>5</v>
      </c>
    </row>
    <row r="45" spans="1:19" x14ac:dyDescent="0.3">
      <c r="A45">
        <v>44</v>
      </c>
      <c r="B45" t="s">
        <v>240</v>
      </c>
      <c r="C45" s="1">
        <v>43362</v>
      </c>
      <c r="D45" s="1">
        <v>43366</v>
      </c>
      <c r="E45" t="s">
        <v>88</v>
      </c>
      <c r="F45" t="s">
        <v>241</v>
      </c>
      <c r="G45" t="s">
        <v>242</v>
      </c>
      <c r="H45" t="s">
        <v>82</v>
      </c>
      <c r="I45" t="s">
        <v>71</v>
      </c>
      <c r="J45" t="s">
        <v>243</v>
      </c>
      <c r="K45" t="s">
        <v>92</v>
      </c>
      <c r="L45">
        <v>32935</v>
      </c>
      <c r="M45" t="s">
        <v>15</v>
      </c>
      <c r="N45" t="s">
        <v>244</v>
      </c>
      <c r="O45" t="s">
        <v>8</v>
      </c>
      <c r="P45" t="s">
        <v>41</v>
      </c>
      <c r="Q45" t="s">
        <v>245</v>
      </c>
      <c r="R45">
        <v>95.616</v>
      </c>
      <c r="S45">
        <f>Table2[[#This Row],[Ship Date]]-Table2[[#This Row],[Order Date]]</f>
        <v>4</v>
      </c>
    </row>
    <row r="46" spans="1:19" x14ac:dyDescent="0.3">
      <c r="A46">
        <v>45</v>
      </c>
      <c r="B46" t="s">
        <v>246</v>
      </c>
      <c r="C46" s="1">
        <v>42805</v>
      </c>
      <c r="D46" s="1">
        <v>42807</v>
      </c>
      <c r="E46" t="s">
        <v>210</v>
      </c>
      <c r="F46" t="s">
        <v>247</v>
      </c>
      <c r="G46" t="s">
        <v>248</v>
      </c>
      <c r="H46" t="s">
        <v>82</v>
      </c>
      <c r="I46" t="s">
        <v>71</v>
      </c>
      <c r="J46" t="s">
        <v>249</v>
      </c>
      <c r="K46" t="s">
        <v>250</v>
      </c>
      <c r="L46">
        <v>55122</v>
      </c>
      <c r="M46" t="s">
        <v>5</v>
      </c>
      <c r="N46" t="s">
        <v>251</v>
      </c>
      <c r="O46" t="s">
        <v>3</v>
      </c>
      <c r="P46" t="s">
        <v>26</v>
      </c>
      <c r="Q46" t="s">
        <v>252</v>
      </c>
      <c r="R46">
        <v>45.98</v>
      </c>
      <c r="S46">
        <f>Table2[[#This Row],[Ship Date]]-Table2[[#This Row],[Order Date]]</f>
        <v>2</v>
      </c>
    </row>
    <row r="47" spans="1:19" x14ac:dyDescent="0.3">
      <c r="A47">
        <v>46</v>
      </c>
      <c r="B47" t="s">
        <v>246</v>
      </c>
      <c r="C47" s="1">
        <v>42805</v>
      </c>
      <c r="D47" s="1">
        <v>42807</v>
      </c>
      <c r="E47" t="s">
        <v>210</v>
      </c>
      <c r="F47" t="s">
        <v>247</v>
      </c>
      <c r="G47" t="s">
        <v>248</v>
      </c>
      <c r="H47" t="s">
        <v>82</v>
      </c>
      <c r="I47" t="s">
        <v>71</v>
      </c>
      <c r="J47" t="s">
        <v>249</v>
      </c>
      <c r="K47" t="s">
        <v>250</v>
      </c>
      <c r="L47">
        <v>55122</v>
      </c>
      <c r="M47" t="s">
        <v>5</v>
      </c>
      <c r="N47" t="s">
        <v>253</v>
      </c>
      <c r="O47" t="s">
        <v>8</v>
      </c>
      <c r="P47" t="s">
        <v>29</v>
      </c>
      <c r="Q47" t="s">
        <v>254</v>
      </c>
      <c r="R47">
        <v>17.46</v>
      </c>
      <c r="S47">
        <f>Table2[[#This Row],[Ship Date]]-Table2[[#This Row],[Order Date]]</f>
        <v>2</v>
      </c>
    </row>
    <row r="48" spans="1:19" x14ac:dyDescent="0.3">
      <c r="A48">
        <v>47</v>
      </c>
      <c r="B48" t="s">
        <v>255</v>
      </c>
      <c r="C48" s="1">
        <v>42297</v>
      </c>
      <c r="D48" s="1">
        <v>42302</v>
      </c>
      <c r="E48" t="s">
        <v>67</v>
      </c>
      <c r="F48" t="s">
        <v>256</v>
      </c>
      <c r="G48" t="s">
        <v>257</v>
      </c>
      <c r="H48" t="s">
        <v>70</v>
      </c>
      <c r="I48" t="s">
        <v>71</v>
      </c>
      <c r="J48" t="s">
        <v>258</v>
      </c>
      <c r="K48" t="s">
        <v>259</v>
      </c>
      <c r="L48">
        <v>48185</v>
      </c>
      <c r="M48" t="s">
        <v>5</v>
      </c>
      <c r="N48" t="s">
        <v>260</v>
      </c>
      <c r="O48" t="s">
        <v>8</v>
      </c>
      <c r="P48" t="s">
        <v>41</v>
      </c>
      <c r="Q48" t="s">
        <v>261</v>
      </c>
      <c r="R48">
        <v>211.96</v>
      </c>
      <c r="S48">
        <f>Table2[[#This Row],[Ship Date]]-Table2[[#This Row],[Order Date]]</f>
        <v>5</v>
      </c>
    </row>
    <row r="49" spans="1:19" x14ac:dyDescent="0.3">
      <c r="A49">
        <v>48</v>
      </c>
      <c r="B49" t="s">
        <v>262</v>
      </c>
      <c r="C49" s="1">
        <v>42906</v>
      </c>
      <c r="D49" s="1">
        <v>42911</v>
      </c>
      <c r="E49" t="s">
        <v>88</v>
      </c>
      <c r="F49" t="s">
        <v>263</v>
      </c>
      <c r="G49" t="s">
        <v>264</v>
      </c>
      <c r="H49" t="s">
        <v>70</v>
      </c>
      <c r="I49" t="s">
        <v>71</v>
      </c>
      <c r="J49" t="s">
        <v>265</v>
      </c>
      <c r="K49" t="s">
        <v>266</v>
      </c>
      <c r="L49">
        <v>19901</v>
      </c>
      <c r="M49" t="s">
        <v>10</v>
      </c>
      <c r="N49" t="s">
        <v>267</v>
      </c>
      <c r="O49" t="s">
        <v>3</v>
      </c>
      <c r="P49" t="s">
        <v>26</v>
      </c>
      <c r="Q49" t="s">
        <v>268</v>
      </c>
      <c r="R49">
        <v>45</v>
      </c>
      <c r="S49">
        <f>Table2[[#This Row],[Ship Date]]-Table2[[#This Row],[Order Date]]</f>
        <v>5</v>
      </c>
    </row>
    <row r="50" spans="1:19" x14ac:dyDescent="0.3">
      <c r="A50">
        <v>49</v>
      </c>
      <c r="B50" t="s">
        <v>262</v>
      </c>
      <c r="C50" s="1">
        <v>42906</v>
      </c>
      <c r="D50" s="1">
        <v>42911</v>
      </c>
      <c r="E50" t="s">
        <v>88</v>
      </c>
      <c r="F50" t="s">
        <v>263</v>
      </c>
      <c r="G50" t="s">
        <v>264</v>
      </c>
      <c r="H50" t="s">
        <v>70</v>
      </c>
      <c r="I50" t="s">
        <v>71</v>
      </c>
      <c r="J50" t="s">
        <v>265</v>
      </c>
      <c r="K50" t="s">
        <v>266</v>
      </c>
      <c r="L50">
        <v>19901</v>
      </c>
      <c r="M50" t="s">
        <v>10</v>
      </c>
      <c r="N50" t="s">
        <v>269</v>
      </c>
      <c r="O50" t="s">
        <v>3</v>
      </c>
      <c r="P50" t="s">
        <v>46</v>
      </c>
      <c r="Q50" t="s">
        <v>270</v>
      </c>
      <c r="R50">
        <v>21.8</v>
      </c>
      <c r="S50">
        <f>Table2[[#This Row],[Ship Date]]-Table2[[#This Row],[Order Date]]</f>
        <v>5</v>
      </c>
    </row>
    <row r="51" spans="1:19" x14ac:dyDescent="0.3">
      <c r="A51">
        <v>50</v>
      </c>
      <c r="B51" t="s">
        <v>271</v>
      </c>
      <c r="C51" s="1">
        <v>42478</v>
      </c>
      <c r="D51" s="1">
        <v>42482</v>
      </c>
      <c r="E51" t="s">
        <v>88</v>
      </c>
      <c r="F51" t="s">
        <v>272</v>
      </c>
      <c r="G51" t="s">
        <v>273</v>
      </c>
      <c r="H51" t="s">
        <v>70</v>
      </c>
      <c r="I51" t="s">
        <v>71</v>
      </c>
      <c r="J51" t="s">
        <v>274</v>
      </c>
      <c r="K51" t="s">
        <v>275</v>
      </c>
      <c r="L51">
        <v>47150</v>
      </c>
      <c r="M51" t="s">
        <v>5</v>
      </c>
      <c r="N51" t="s">
        <v>276</v>
      </c>
      <c r="O51" t="s">
        <v>8</v>
      </c>
      <c r="P51" t="s">
        <v>29</v>
      </c>
      <c r="Q51" t="s">
        <v>277</v>
      </c>
      <c r="R51">
        <v>38.22</v>
      </c>
      <c r="S51">
        <f>Table2[[#This Row],[Ship Date]]-Table2[[#This Row],[Order Date]]</f>
        <v>4</v>
      </c>
    </row>
    <row r="52" spans="1:19" x14ac:dyDescent="0.3">
      <c r="A52">
        <v>51</v>
      </c>
      <c r="B52" t="s">
        <v>271</v>
      </c>
      <c r="C52" s="1">
        <v>42478</v>
      </c>
      <c r="D52" s="1">
        <v>42482</v>
      </c>
      <c r="E52" t="s">
        <v>88</v>
      </c>
      <c r="F52" t="s">
        <v>272</v>
      </c>
      <c r="G52" t="s">
        <v>273</v>
      </c>
      <c r="H52" t="s">
        <v>70</v>
      </c>
      <c r="I52" t="s">
        <v>71</v>
      </c>
      <c r="J52" t="s">
        <v>274</v>
      </c>
      <c r="K52" t="s">
        <v>275</v>
      </c>
      <c r="L52">
        <v>47150</v>
      </c>
      <c r="M52" t="s">
        <v>5</v>
      </c>
      <c r="N52" t="s">
        <v>278</v>
      </c>
      <c r="O52" t="s">
        <v>8</v>
      </c>
      <c r="P52" t="s">
        <v>14</v>
      </c>
      <c r="Q52" t="s">
        <v>279</v>
      </c>
      <c r="R52">
        <v>75.180000000000007</v>
      </c>
      <c r="S52">
        <f>Table2[[#This Row],[Ship Date]]-Table2[[#This Row],[Order Date]]</f>
        <v>4</v>
      </c>
    </row>
    <row r="53" spans="1:19" x14ac:dyDescent="0.3">
      <c r="A53">
        <v>52</v>
      </c>
      <c r="B53" t="s">
        <v>271</v>
      </c>
      <c r="C53" s="1">
        <v>42478</v>
      </c>
      <c r="D53" s="1">
        <v>42482</v>
      </c>
      <c r="E53" t="s">
        <v>88</v>
      </c>
      <c r="F53" t="s">
        <v>272</v>
      </c>
      <c r="G53" t="s">
        <v>273</v>
      </c>
      <c r="H53" t="s">
        <v>70</v>
      </c>
      <c r="I53" t="s">
        <v>71</v>
      </c>
      <c r="J53" t="s">
        <v>274</v>
      </c>
      <c r="K53" t="s">
        <v>275</v>
      </c>
      <c r="L53">
        <v>47150</v>
      </c>
      <c r="M53" t="s">
        <v>5</v>
      </c>
      <c r="N53" t="s">
        <v>280</v>
      </c>
      <c r="O53" t="s">
        <v>13</v>
      </c>
      <c r="P53" t="s">
        <v>35</v>
      </c>
      <c r="Q53" t="s">
        <v>281</v>
      </c>
      <c r="R53">
        <v>6.16</v>
      </c>
      <c r="S53">
        <f>Table2[[#This Row],[Ship Date]]-Table2[[#This Row],[Order Date]]</f>
        <v>4</v>
      </c>
    </row>
    <row r="54" spans="1:19" x14ac:dyDescent="0.3">
      <c r="A54">
        <v>53</v>
      </c>
      <c r="B54" t="s">
        <v>271</v>
      </c>
      <c r="C54" s="1">
        <v>42478</v>
      </c>
      <c r="D54" s="1">
        <v>42482</v>
      </c>
      <c r="E54" t="s">
        <v>88</v>
      </c>
      <c r="F54" t="s">
        <v>272</v>
      </c>
      <c r="G54" t="s">
        <v>273</v>
      </c>
      <c r="H54" t="s">
        <v>70</v>
      </c>
      <c r="I54" t="s">
        <v>71</v>
      </c>
      <c r="J54" t="s">
        <v>274</v>
      </c>
      <c r="K54" t="s">
        <v>275</v>
      </c>
      <c r="L54">
        <v>47150</v>
      </c>
      <c r="M54" t="s">
        <v>5</v>
      </c>
      <c r="N54" t="s">
        <v>282</v>
      </c>
      <c r="O54" t="s">
        <v>13</v>
      </c>
      <c r="P54" t="s">
        <v>43</v>
      </c>
      <c r="Q54" t="s">
        <v>283</v>
      </c>
      <c r="R54">
        <v>89.99</v>
      </c>
      <c r="S54">
        <f>Table2[[#This Row],[Ship Date]]-Table2[[#This Row],[Order Date]]</f>
        <v>4</v>
      </c>
    </row>
    <row r="55" spans="1:19" x14ac:dyDescent="0.3">
      <c r="A55">
        <v>54</v>
      </c>
      <c r="B55" t="s">
        <v>284</v>
      </c>
      <c r="C55" s="1">
        <v>43080</v>
      </c>
      <c r="D55" s="1">
        <v>43086</v>
      </c>
      <c r="E55" t="s">
        <v>88</v>
      </c>
      <c r="F55" t="s">
        <v>285</v>
      </c>
      <c r="G55" t="s">
        <v>286</v>
      </c>
      <c r="H55" t="s">
        <v>82</v>
      </c>
      <c r="I55" t="s">
        <v>71</v>
      </c>
      <c r="J55" t="s">
        <v>287</v>
      </c>
      <c r="K55" t="s">
        <v>288</v>
      </c>
      <c r="L55">
        <v>10024</v>
      </c>
      <c r="M55" t="s">
        <v>10</v>
      </c>
      <c r="N55" t="s">
        <v>289</v>
      </c>
      <c r="O55" t="s">
        <v>8</v>
      </c>
      <c r="P55" t="s">
        <v>9</v>
      </c>
      <c r="Q55" t="s">
        <v>290</v>
      </c>
      <c r="R55">
        <v>15.26</v>
      </c>
      <c r="S55">
        <f>Table2[[#This Row],[Ship Date]]-Table2[[#This Row],[Order Date]]</f>
        <v>6</v>
      </c>
    </row>
    <row r="56" spans="1:19" x14ac:dyDescent="0.3">
      <c r="A56">
        <v>55</v>
      </c>
      <c r="B56" t="s">
        <v>284</v>
      </c>
      <c r="C56" s="1">
        <v>43080</v>
      </c>
      <c r="D56" s="1">
        <v>43086</v>
      </c>
      <c r="E56" t="s">
        <v>88</v>
      </c>
      <c r="F56" t="s">
        <v>285</v>
      </c>
      <c r="G56" t="s">
        <v>286</v>
      </c>
      <c r="H56" t="s">
        <v>82</v>
      </c>
      <c r="I56" t="s">
        <v>71</v>
      </c>
      <c r="J56" t="s">
        <v>287</v>
      </c>
      <c r="K56" t="s">
        <v>288</v>
      </c>
      <c r="L56">
        <v>10024</v>
      </c>
      <c r="M56" t="s">
        <v>10</v>
      </c>
      <c r="N56" t="s">
        <v>291</v>
      </c>
      <c r="O56" t="s">
        <v>3</v>
      </c>
      <c r="P56" t="s">
        <v>46</v>
      </c>
      <c r="Q56" t="s">
        <v>6</v>
      </c>
      <c r="R56">
        <v>1029.95</v>
      </c>
      <c r="S56">
        <f>Table2[[#This Row],[Ship Date]]-Table2[[#This Row],[Order Date]]</f>
        <v>6</v>
      </c>
    </row>
    <row r="57" spans="1:19" x14ac:dyDescent="0.3">
      <c r="A57">
        <v>56</v>
      </c>
      <c r="B57" t="s">
        <v>292</v>
      </c>
      <c r="C57" s="1">
        <v>42903</v>
      </c>
      <c r="D57" s="1">
        <v>42904</v>
      </c>
      <c r="E57" t="s">
        <v>210</v>
      </c>
      <c r="F57" t="s">
        <v>293</v>
      </c>
      <c r="G57" t="s">
        <v>294</v>
      </c>
      <c r="H57" t="s">
        <v>70</v>
      </c>
      <c r="I57" t="s">
        <v>71</v>
      </c>
      <c r="J57" t="s">
        <v>295</v>
      </c>
      <c r="K57" t="s">
        <v>288</v>
      </c>
      <c r="L57">
        <v>12180</v>
      </c>
      <c r="M57" t="s">
        <v>10</v>
      </c>
      <c r="N57" t="s">
        <v>296</v>
      </c>
      <c r="O57" t="s">
        <v>8</v>
      </c>
      <c r="P57" t="s">
        <v>41</v>
      </c>
      <c r="Q57" t="s">
        <v>297</v>
      </c>
      <c r="R57">
        <v>208.56</v>
      </c>
      <c r="S57">
        <f>Table2[[#This Row],[Ship Date]]-Table2[[#This Row],[Order Date]]</f>
        <v>1</v>
      </c>
    </row>
    <row r="58" spans="1:19" x14ac:dyDescent="0.3">
      <c r="A58">
        <v>57</v>
      </c>
      <c r="B58" t="s">
        <v>292</v>
      </c>
      <c r="C58" s="1">
        <v>42903</v>
      </c>
      <c r="D58" s="1">
        <v>42904</v>
      </c>
      <c r="E58" t="s">
        <v>210</v>
      </c>
      <c r="F58" t="s">
        <v>293</v>
      </c>
      <c r="G58" t="s">
        <v>294</v>
      </c>
      <c r="H58" t="s">
        <v>70</v>
      </c>
      <c r="I58" t="s">
        <v>71</v>
      </c>
      <c r="J58" t="s">
        <v>295</v>
      </c>
      <c r="K58" t="s">
        <v>288</v>
      </c>
      <c r="L58">
        <v>12180</v>
      </c>
      <c r="M58" t="s">
        <v>10</v>
      </c>
      <c r="N58" t="s">
        <v>298</v>
      </c>
      <c r="O58" t="s">
        <v>8</v>
      </c>
      <c r="P58" t="s">
        <v>23</v>
      </c>
      <c r="Q58" t="s">
        <v>299</v>
      </c>
      <c r="R58">
        <v>32.4</v>
      </c>
      <c r="S58">
        <f>Table2[[#This Row],[Ship Date]]-Table2[[#This Row],[Order Date]]</f>
        <v>1</v>
      </c>
    </row>
    <row r="59" spans="1:19" x14ac:dyDescent="0.3">
      <c r="A59">
        <v>58</v>
      </c>
      <c r="B59" t="s">
        <v>292</v>
      </c>
      <c r="C59" s="1">
        <v>42903</v>
      </c>
      <c r="D59" s="1">
        <v>42904</v>
      </c>
      <c r="E59" t="s">
        <v>210</v>
      </c>
      <c r="F59" t="s">
        <v>293</v>
      </c>
      <c r="G59" t="s">
        <v>294</v>
      </c>
      <c r="H59" t="s">
        <v>70</v>
      </c>
      <c r="I59" t="s">
        <v>71</v>
      </c>
      <c r="J59" t="s">
        <v>295</v>
      </c>
      <c r="K59" t="s">
        <v>288</v>
      </c>
      <c r="L59">
        <v>12180</v>
      </c>
      <c r="M59" t="s">
        <v>10</v>
      </c>
      <c r="N59" t="s">
        <v>300</v>
      </c>
      <c r="O59" t="s">
        <v>13</v>
      </c>
      <c r="P59" t="s">
        <v>43</v>
      </c>
      <c r="Q59" t="s">
        <v>301</v>
      </c>
      <c r="R59">
        <v>319.41000000000003</v>
      </c>
      <c r="S59">
        <f>Table2[[#This Row],[Ship Date]]-Table2[[#This Row],[Order Date]]</f>
        <v>1</v>
      </c>
    </row>
    <row r="60" spans="1:19" x14ac:dyDescent="0.3">
      <c r="A60">
        <v>59</v>
      </c>
      <c r="B60" t="s">
        <v>292</v>
      </c>
      <c r="C60" s="1">
        <v>42903</v>
      </c>
      <c r="D60" s="1">
        <v>42904</v>
      </c>
      <c r="E60" t="s">
        <v>210</v>
      </c>
      <c r="F60" t="s">
        <v>293</v>
      </c>
      <c r="G60" t="s">
        <v>294</v>
      </c>
      <c r="H60" t="s">
        <v>70</v>
      </c>
      <c r="I60" t="s">
        <v>71</v>
      </c>
      <c r="J60" t="s">
        <v>295</v>
      </c>
      <c r="K60" t="s">
        <v>288</v>
      </c>
      <c r="L60">
        <v>12180</v>
      </c>
      <c r="M60" t="s">
        <v>10</v>
      </c>
      <c r="N60" t="s">
        <v>302</v>
      </c>
      <c r="O60" t="s">
        <v>8</v>
      </c>
      <c r="P60" t="s">
        <v>23</v>
      </c>
      <c r="Q60" t="s">
        <v>303</v>
      </c>
      <c r="R60">
        <v>14.56</v>
      </c>
      <c r="S60">
        <f>Table2[[#This Row],[Ship Date]]-Table2[[#This Row],[Order Date]]</f>
        <v>1</v>
      </c>
    </row>
    <row r="61" spans="1:19" x14ac:dyDescent="0.3">
      <c r="A61">
        <v>60</v>
      </c>
      <c r="B61" t="s">
        <v>292</v>
      </c>
      <c r="C61" s="1">
        <v>42903</v>
      </c>
      <c r="D61" s="1">
        <v>42904</v>
      </c>
      <c r="E61" t="s">
        <v>210</v>
      </c>
      <c r="F61" t="s">
        <v>293</v>
      </c>
      <c r="G61" t="s">
        <v>294</v>
      </c>
      <c r="H61" t="s">
        <v>70</v>
      </c>
      <c r="I61" t="s">
        <v>71</v>
      </c>
      <c r="J61" t="s">
        <v>295</v>
      </c>
      <c r="K61" t="s">
        <v>288</v>
      </c>
      <c r="L61">
        <v>12180</v>
      </c>
      <c r="M61" t="s">
        <v>10</v>
      </c>
      <c r="N61" t="s">
        <v>267</v>
      </c>
      <c r="O61" t="s">
        <v>3</v>
      </c>
      <c r="P61" t="s">
        <v>26</v>
      </c>
      <c r="Q61" t="s">
        <v>268</v>
      </c>
      <c r="R61">
        <v>30</v>
      </c>
      <c r="S61">
        <f>Table2[[#This Row],[Ship Date]]-Table2[[#This Row],[Order Date]]</f>
        <v>1</v>
      </c>
    </row>
    <row r="62" spans="1:19" x14ac:dyDescent="0.3">
      <c r="A62">
        <v>61</v>
      </c>
      <c r="B62" t="s">
        <v>292</v>
      </c>
      <c r="C62" s="1">
        <v>42903</v>
      </c>
      <c r="D62" s="1">
        <v>42904</v>
      </c>
      <c r="E62" t="s">
        <v>210</v>
      </c>
      <c r="F62" t="s">
        <v>293</v>
      </c>
      <c r="G62" t="s">
        <v>294</v>
      </c>
      <c r="H62" t="s">
        <v>70</v>
      </c>
      <c r="I62" t="s">
        <v>71</v>
      </c>
      <c r="J62" t="s">
        <v>295</v>
      </c>
      <c r="K62" t="s">
        <v>288</v>
      </c>
      <c r="L62">
        <v>12180</v>
      </c>
      <c r="M62" t="s">
        <v>10</v>
      </c>
      <c r="N62" t="s">
        <v>304</v>
      </c>
      <c r="O62" t="s">
        <v>8</v>
      </c>
      <c r="P62" t="s">
        <v>29</v>
      </c>
      <c r="Q62" t="s">
        <v>305</v>
      </c>
      <c r="R62">
        <v>48.48</v>
      </c>
      <c r="S62">
        <f>Table2[[#This Row],[Ship Date]]-Table2[[#This Row],[Order Date]]</f>
        <v>1</v>
      </c>
    </row>
    <row r="63" spans="1:19" x14ac:dyDescent="0.3">
      <c r="A63">
        <v>62</v>
      </c>
      <c r="B63" t="s">
        <v>292</v>
      </c>
      <c r="C63" s="1">
        <v>42903</v>
      </c>
      <c r="D63" s="1">
        <v>42904</v>
      </c>
      <c r="E63" t="s">
        <v>210</v>
      </c>
      <c r="F63" t="s">
        <v>293</v>
      </c>
      <c r="G63" t="s">
        <v>294</v>
      </c>
      <c r="H63" t="s">
        <v>70</v>
      </c>
      <c r="I63" t="s">
        <v>71</v>
      </c>
      <c r="J63" t="s">
        <v>295</v>
      </c>
      <c r="K63" t="s">
        <v>288</v>
      </c>
      <c r="L63">
        <v>12180</v>
      </c>
      <c r="M63" t="s">
        <v>10</v>
      </c>
      <c r="N63" t="s">
        <v>306</v>
      </c>
      <c r="O63" t="s">
        <v>8</v>
      </c>
      <c r="P63" t="s">
        <v>38</v>
      </c>
      <c r="Q63" t="s">
        <v>307</v>
      </c>
      <c r="R63">
        <v>1.68</v>
      </c>
      <c r="S63">
        <f>Table2[[#This Row],[Ship Date]]-Table2[[#This Row],[Order Date]]</f>
        <v>1</v>
      </c>
    </row>
    <row r="64" spans="1:19" x14ac:dyDescent="0.3">
      <c r="A64">
        <v>63</v>
      </c>
      <c r="B64" t="s">
        <v>308</v>
      </c>
      <c r="C64" s="1">
        <v>42698</v>
      </c>
      <c r="D64" s="1">
        <v>42704</v>
      </c>
      <c r="E64" t="s">
        <v>88</v>
      </c>
      <c r="F64" t="s">
        <v>309</v>
      </c>
      <c r="G64" t="s">
        <v>310</v>
      </c>
      <c r="H64" t="s">
        <v>70</v>
      </c>
      <c r="I64" t="s">
        <v>71</v>
      </c>
      <c r="J64" t="s">
        <v>83</v>
      </c>
      <c r="K64" t="s">
        <v>84</v>
      </c>
      <c r="L64">
        <v>90004</v>
      </c>
      <c r="M64" t="s">
        <v>20</v>
      </c>
      <c r="N64" t="s">
        <v>311</v>
      </c>
      <c r="O64" t="s">
        <v>3</v>
      </c>
      <c r="P64" t="s">
        <v>26</v>
      </c>
      <c r="Q64" t="s">
        <v>312</v>
      </c>
      <c r="R64">
        <v>13.98</v>
      </c>
      <c r="S64">
        <f>Table2[[#This Row],[Ship Date]]-Table2[[#This Row],[Order Date]]</f>
        <v>6</v>
      </c>
    </row>
    <row r="65" spans="1:19" x14ac:dyDescent="0.3">
      <c r="A65">
        <v>64</v>
      </c>
      <c r="B65" t="s">
        <v>308</v>
      </c>
      <c r="C65" s="1">
        <v>42698</v>
      </c>
      <c r="D65" s="1">
        <v>42704</v>
      </c>
      <c r="E65" t="s">
        <v>88</v>
      </c>
      <c r="F65" t="s">
        <v>309</v>
      </c>
      <c r="G65" t="s">
        <v>310</v>
      </c>
      <c r="H65" t="s">
        <v>70</v>
      </c>
      <c r="I65" t="s">
        <v>71</v>
      </c>
      <c r="J65" t="s">
        <v>83</v>
      </c>
      <c r="K65" t="s">
        <v>84</v>
      </c>
      <c r="L65">
        <v>90004</v>
      </c>
      <c r="M65" t="s">
        <v>20</v>
      </c>
      <c r="N65" t="s">
        <v>313</v>
      </c>
      <c r="O65" t="s">
        <v>8</v>
      </c>
      <c r="P65" t="s">
        <v>29</v>
      </c>
      <c r="Q65" t="s">
        <v>314</v>
      </c>
      <c r="R65">
        <v>25.824000000000002</v>
      </c>
      <c r="S65">
        <f>Table2[[#This Row],[Ship Date]]-Table2[[#This Row],[Order Date]]</f>
        <v>6</v>
      </c>
    </row>
    <row r="66" spans="1:19" x14ac:dyDescent="0.3">
      <c r="A66">
        <v>65</v>
      </c>
      <c r="B66" t="s">
        <v>308</v>
      </c>
      <c r="C66" s="1">
        <v>42698</v>
      </c>
      <c r="D66" s="1">
        <v>42704</v>
      </c>
      <c r="E66" t="s">
        <v>88</v>
      </c>
      <c r="F66" t="s">
        <v>309</v>
      </c>
      <c r="G66" t="s">
        <v>310</v>
      </c>
      <c r="H66" t="s">
        <v>70</v>
      </c>
      <c r="I66" t="s">
        <v>71</v>
      </c>
      <c r="J66" t="s">
        <v>83</v>
      </c>
      <c r="K66" t="s">
        <v>84</v>
      </c>
      <c r="L66">
        <v>90004</v>
      </c>
      <c r="M66" t="s">
        <v>20</v>
      </c>
      <c r="N66" t="s">
        <v>315</v>
      </c>
      <c r="O66" t="s">
        <v>8</v>
      </c>
      <c r="P66" t="s">
        <v>23</v>
      </c>
      <c r="Q66" t="s">
        <v>316</v>
      </c>
      <c r="R66">
        <v>146.72999999999999</v>
      </c>
      <c r="S66">
        <f>Table2[[#This Row],[Ship Date]]-Table2[[#This Row],[Order Date]]</f>
        <v>6</v>
      </c>
    </row>
    <row r="67" spans="1:19" x14ac:dyDescent="0.3">
      <c r="A67">
        <v>66</v>
      </c>
      <c r="B67" t="s">
        <v>308</v>
      </c>
      <c r="C67" s="1">
        <v>42698</v>
      </c>
      <c r="D67" s="1">
        <v>42704</v>
      </c>
      <c r="E67" t="s">
        <v>88</v>
      </c>
      <c r="F67" t="s">
        <v>309</v>
      </c>
      <c r="G67" t="s">
        <v>310</v>
      </c>
      <c r="H67" t="s">
        <v>70</v>
      </c>
      <c r="I67" t="s">
        <v>71</v>
      </c>
      <c r="J67" t="s">
        <v>83</v>
      </c>
      <c r="K67" t="s">
        <v>84</v>
      </c>
      <c r="L67">
        <v>90004</v>
      </c>
      <c r="M67" t="s">
        <v>20</v>
      </c>
      <c r="N67" t="s">
        <v>317</v>
      </c>
      <c r="O67" t="s">
        <v>13</v>
      </c>
      <c r="P67" t="s">
        <v>35</v>
      </c>
      <c r="Q67" t="s">
        <v>318</v>
      </c>
      <c r="R67">
        <v>79.760000000000005</v>
      </c>
      <c r="S67">
        <f>Table2[[#This Row],[Ship Date]]-Table2[[#This Row],[Order Date]]</f>
        <v>6</v>
      </c>
    </row>
    <row r="68" spans="1:19" x14ac:dyDescent="0.3">
      <c r="A68">
        <v>67</v>
      </c>
      <c r="B68" t="s">
        <v>319</v>
      </c>
      <c r="C68" s="1">
        <v>42490</v>
      </c>
      <c r="D68" s="1">
        <v>42495</v>
      </c>
      <c r="E68" t="s">
        <v>88</v>
      </c>
      <c r="F68" t="s">
        <v>320</v>
      </c>
      <c r="G68" t="s">
        <v>321</v>
      </c>
      <c r="H68" t="s">
        <v>129</v>
      </c>
      <c r="I68" t="s">
        <v>71</v>
      </c>
      <c r="J68" t="s">
        <v>322</v>
      </c>
      <c r="K68" t="s">
        <v>232</v>
      </c>
      <c r="L68">
        <v>60610</v>
      </c>
      <c r="M68" t="s">
        <v>5</v>
      </c>
      <c r="N68" t="s">
        <v>323</v>
      </c>
      <c r="O68" t="s">
        <v>13</v>
      </c>
      <c r="P68" t="s">
        <v>43</v>
      </c>
      <c r="Q68" t="s">
        <v>324</v>
      </c>
      <c r="R68">
        <v>213.11500000000001</v>
      </c>
      <c r="S68">
        <f>Table2[[#This Row],[Ship Date]]-Table2[[#This Row],[Order Date]]</f>
        <v>5</v>
      </c>
    </row>
    <row r="69" spans="1:19" x14ac:dyDescent="0.3">
      <c r="A69">
        <v>68</v>
      </c>
      <c r="B69" t="s">
        <v>325</v>
      </c>
      <c r="C69" s="1">
        <v>42343</v>
      </c>
      <c r="D69" s="1">
        <v>42348</v>
      </c>
      <c r="E69" t="s">
        <v>88</v>
      </c>
      <c r="F69" t="s">
        <v>326</v>
      </c>
      <c r="G69" t="s">
        <v>327</v>
      </c>
      <c r="H69" t="s">
        <v>82</v>
      </c>
      <c r="I69" t="s">
        <v>71</v>
      </c>
      <c r="J69" t="s">
        <v>328</v>
      </c>
      <c r="K69" t="s">
        <v>329</v>
      </c>
      <c r="L69">
        <v>85234</v>
      </c>
      <c r="M69" t="s">
        <v>20</v>
      </c>
      <c r="N69" t="s">
        <v>330</v>
      </c>
      <c r="O69" t="s">
        <v>8</v>
      </c>
      <c r="P69" t="s">
        <v>38</v>
      </c>
      <c r="Q69" t="s">
        <v>24</v>
      </c>
      <c r="R69">
        <v>1113.0239999999999</v>
      </c>
      <c r="S69">
        <f>Table2[[#This Row],[Ship Date]]-Table2[[#This Row],[Order Date]]</f>
        <v>5</v>
      </c>
    </row>
    <row r="70" spans="1:19" x14ac:dyDescent="0.3">
      <c r="A70">
        <v>69</v>
      </c>
      <c r="B70" t="s">
        <v>325</v>
      </c>
      <c r="C70" s="1">
        <v>42343</v>
      </c>
      <c r="D70" s="1">
        <v>42348</v>
      </c>
      <c r="E70" t="s">
        <v>88</v>
      </c>
      <c r="F70" t="s">
        <v>326</v>
      </c>
      <c r="G70" t="s">
        <v>327</v>
      </c>
      <c r="H70" t="s">
        <v>82</v>
      </c>
      <c r="I70" t="s">
        <v>71</v>
      </c>
      <c r="J70" t="s">
        <v>328</v>
      </c>
      <c r="K70" t="s">
        <v>329</v>
      </c>
      <c r="L70">
        <v>85234</v>
      </c>
      <c r="M70" t="s">
        <v>20</v>
      </c>
      <c r="N70" t="s">
        <v>331</v>
      </c>
      <c r="O70" t="s">
        <v>3</v>
      </c>
      <c r="P70" t="s">
        <v>46</v>
      </c>
      <c r="Q70" t="s">
        <v>332</v>
      </c>
      <c r="R70">
        <v>167.96799999999999</v>
      </c>
      <c r="S70">
        <f>Table2[[#This Row],[Ship Date]]-Table2[[#This Row],[Order Date]]</f>
        <v>5</v>
      </c>
    </row>
    <row r="71" spans="1:19" x14ac:dyDescent="0.3">
      <c r="A71">
        <v>70</v>
      </c>
      <c r="B71" t="s">
        <v>333</v>
      </c>
      <c r="C71" s="1">
        <v>42890</v>
      </c>
      <c r="D71" s="1">
        <v>42892</v>
      </c>
      <c r="E71" t="s">
        <v>210</v>
      </c>
      <c r="F71" t="s">
        <v>334</v>
      </c>
      <c r="G71" t="s">
        <v>335</v>
      </c>
      <c r="H71" t="s">
        <v>70</v>
      </c>
      <c r="I71" t="s">
        <v>71</v>
      </c>
      <c r="J71" t="s">
        <v>336</v>
      </c>
      <c r="K71" t="s">
        <v>337</v>
      </c>
      <c r="L71">
        <v>22153</v>
      </c>
      <c r="M71" t="s">
        <v>15</v>
      </c>
      <c r="N71" t="s">
        <v>338</v>
      </c>
      <c r="O71" t="s">
        <v>8</v>
      </c>
      <c r="P71" t="s">
        <v>23</v>
      </c>
      <c r="Q71" t="s">
        <v>339</v>
      </c>
      <c r="R71">
        <v>75.88</v>
      </c>
      <c r="S71">
        <f>Table2[[#This Row],[Ship Date]]-Table2[[#This Row],[Order Date]]</f>
        <v>2</v>
      </c>
    </row>
    <row r="72" spans="1:19" x14ac:dyDescent="0.3">
      <c r="A72">
        <v>71</v>
      </c>
      <c r="B72" t="s">
        <v>340</v>
      </c>
      <c r="C72" s="1">
        <v>42996</v>
      </c>
      <c r="D72" s="1">
        <v>43001</v>
      </c>
      <c r="E72" t="s">
        <v>88</v>
      </c>
      <c r="F72" t="s">
        <v>341</v>
      </c>
      <c r="G72" t="s">
        <v>342</v>
      </c>
      <c r="H72" t="s">
        <v>70</v>
      </c>
      <c r="I72" t="s">
        <v>71</v>
      </c>
      <c r="J72" t="s">
        <v>287</v>
      </c>
      <c r="K72" t="s">
        <v>288</v>
      </c>
      <c r="L72">
        <v>10009</v>
      </c>
      <c r="M72" t="s">
        <v>10</v>
      </c>
      <c r="N72" t="s">
        <v>343</v>
      </c>
      <c r="O72" t="s">
        <v>8</v>
      </c>
      <c r="P72" t="s">
        <v>29</v>
      </c>
      <c r="Q72" t="s">
        <v>344</v>
      </c>
      <c r="R72">
        <v>4.6159999999999997</v>
      </c>
      <c r="S72">
        <f>Table2[[#This Row],[Ship Date]]-Table2[[#This Row],[Order Date]]</f>
        <v>5</v>
      </c>
    </row>
    <row r="73" spans="1:19" x14ac:dyDescent="0.3">
      <c r="A73">
        <v>72</v>
      </c>
      <c r="B73" t="s">
        <v>345</v>
      </c>
      <c r="C73" s="1">
        <v>43357</v>
      </c>
      <c r="D73" s="1">
        <v>43360</v>
      </c>
      <c r="E73" t="s">
        <v>67</v>
      </c>
      <c r="F73" t="s">
        <v>188</v>
      </c>
      <c r="G73" t="s">
        <v>189</v>
      </c>
      <c r="H73" t="s">
        <v>70</v>
      </c>
      <c r="I73" t="s">
        <v>71</v>
      </c>
      <c r="J73" t="s">
        <v>346</v>
      </c>
      <c r="K73" t="s">
        <v>259</v>
      </c>
      <c r="L73">
        <v>49201</v>
      </c>
      <c r="M73" t="s">
        <v>5</v>
      </c>
      <c r="N73" t="s">
        <v>347</v>
      </c>
      <c r="O73" t="s">
        <v>8</v>
      </c>
      <c r="P73" t="s">
        <v>23</v>
      </c>
      <c r="Q73" t="s">
        <v>348</v>
      </c>
      <c r="R73">
        <v>19.05</v>
      </c>
      <c r="S73">
        <f>Table2[[#This Row],[Ship Date]]-Table2[[#This Row],[Order Date]]</f>
        <v>3</v>
      </c>
    </row>
    <row r="74" spans="1:19" x14ac:dyDescent="0.3">
      <c r="A74">
        <v>73</v>
      </c>
      <c r="B74" t="s">
        <v>349</v>
      </c>
      <c r="C74" s="1">
        <v>42486</v>
      </c>
      <c r="D74" s="1">
        <v>42492</v>
      </c>
      <c r="E74" t="s">
        <v>88</v>
      </c>
      <c r="F74" t="s">
        <v>350</v>
      </c>
      <c r="G74" t="s">
        <v>351</v>
      </c>
      <c r="H74" t="s">
        <v>70</v>
      </c>
      <c r="I74" t="s">
        <v>71</v>
      </c>
      <c r="J74" t="s">
        <v>352</v>
      </c>
      <c r="K74" t="s">
        <v>353</v>
      </c>
      <c r="L74">
        <v>38109</v>
      </c>
      <c r="M74" t="s">
        <v>15</v>
      </c>
      <c r="N74" t="s">
        <v>354</v>
      </c>
      <c r="O74" t="s">
        <v>13</v>
      </c>
      <c r="P74" t="s">
        <v>43</v>
      </c>
      <c r="Q74" t="s">
        <v>355</v>
      </c>
      <c r="R74">
        <v>831.93600000000004</v>
      </c>
      <c r="S74">
        <f>Table2[[#This Row],[Ship Date]]-Table2[[#This Row],[Order Date]]</f>
        <v>6</v>
      </c>
    </row>
    <row r="75" spans="1:19" x14ac:dyDescent="0.3">
      <c r="A75">
        <v>74</v>
      </c>
      <c r="B75" t="s">
        <v>349</v>
      </c>
      <c r="C75" s="1">
        <v>42486</v>
      </c>
      <c r="D75" s="1">
        <v>42492</v>
      </c>
      <c r="E75" t="s">
        <v>88</v>
      </c>
      <c r="F75" t="s">
        <v>350</v>
      </c>
      <c r="G75" t="s">
        <v>351</v>
      </c>
      <c r="H75" t="s">
        <v>70</v>
      </c>
      <c r="I75" t="s">
        <v>71</v>
      </c>
      <c r="J75" t="s">
        <v>352</v>
      </c>
      <c r="K75" t="s">
        <v>353</v>
      </c>
      <c r="L75">
        <v>38109</v>
      </c>
      <c r="M75" t="s">
        <v>15</v>
      </c>
      <c r="N75" t="s">
        <v>356</v>
      </c>
      <c r="O75" t="s">
        <v>13</v>
      </c>
      <c r="P75" t="s">
        <v>35</v>
      </c>
      <c r="Q75" t="s">
        <v>357</v>
      </c>
      <c r="R75">
        <v>97.04</v>
      </c>
      <c r="S75">
        <f>Table2[[#This Row],[Ship Date]]-Table2[[#This Row],[Order Date]]</f>
        <v>6</v>
      </c>
    </row>
    <row r="76" spans="1:19" x14ac:dyDescent="0.3">
      <c r="A76">
        <v>75</v>
      </c>
      <c r="B76" t="s">
        <v>349</v>
      </c>
      <c r="C76" s="1">
        <v>42486</v>
      </c>
      <c r="D76" s="1">
        <v>42492</v>
      </c>
      <c r="E76" t="s">
        <v>88</v>
      </c>
      <c r="F76" t="s">
        <v>350</v>
      </c>
      <c r="G76" t="s">
        <v>351</v>
      </c>
      <c r="H76" t="s">
        <v>70</v>
      </c>
      <c r="I76" t="s">
        <v>71</v>
      </c>
      <c r="J76" t="s">
        <v>352</v>
      </c>
      <c r="K76" t="s">
        <v>353</v>
      </c>
      <c r="L76">
        <v>38109</v>
      </c>
      <c r="M76" t="s">
        <v>15</v>
      </c>
      <c r="N76" t="s">
        <v>358</v>
      </c>
      <c r="O76" t="s">
        <v>8</v>
      </c>
      <c r="P76" t="s">
        <v>41</v>
      </c>
      <c r="Q76" t="s">
        <v>359</v>
      </c>
      <c r="R76">
        <v>72.784000000000006</v>
      </c>
      <c r="S76">
        <f>Table2[[#This Row],[Ship Date]]-Table2[[#This Row],[Order Date]]</f>
        <v>6</v>
      </c>
    </row>
    <row r="77" spans="1:19" x14ac:dyDescent="0.3">
      <c r="A77">
        <v>76</v>
      </c>
      <c r="B77" t="s">
        <v>360</v>
      </c>
      <c r="C77" s="1">
        <v>43443</v>
      </c>
      <c r="D77" s="1">
        <v>43445</v>
      </c>
      <c r="E77" t="s">
        <v>210</v>
      </c>
      <c r="F77" t="s">
        <v>361</v>
      </c>
      <c r="G77" t="s">
        <v>362</v>
      </c>
      <c r="H77" t="s">
        <v>82</v>
      </c>
      <c r="I77" t="s">
        <v>71</v>
      </c>
      <c r="J77" t="s">
        <v>206</v>
      </c>
      <c r="K77" t="s">
        <v>131</v>
      </c>
      <c r="L77">
        <v>77041</v>
      </c>
      <c r="M77" t="s">
        <v>5</v>
      </c>
      <c r="N77" t="s">
        <v>363</v>
      </c>
      <c r="O77" t="s">
        <v>8</v>
      </c>
      <c r="P77" t="s">
        <v>29</v>
      </c>
      <c r="Q77" t="s">
        <v>364</v>
      </c>
      <c r="R77">
        <v>1.248</v>
      </c>
      <c r="S77">
        <f>Table2[[#This Row],[Ship Date]]-Table2[[#This Row],[Order Date]]</f>
        <v>2</v>
      </c>
    </row>
    <row r="78" spans="1:19" x14ac:dyDescent="0.3">
      <c r="A78">
        <v>77</v>
      </c>
      <c r="B78" t="s">
        <v>360</v>
      </c>
      <c r="C78" s="1">
        <v>43443</v>
      </c>
      <c r="D78" s="1">
        <v>43445</v>
      </c>
      <c r="E78" t="s">
        <v>210</v>
      </c>
      <c r="F78" t="s">
        <v>361</v>
      </c>
      <c r="G78" t="s">
        <v>362</v>
      </c>
      <c r="H78" t="s">
        <v>82</v>
      </c>
      <c r="I78" t="s">
        <v>71</v>
      </c>
      <c r="J78" t="s">
        <v>206</v>
      </c>
      <c r="K78" t="s">
        <v>131</v>
      </c>
      <c r="L78">
        <v>77041</v>
      </c>
      <c r="M78" t="s">
        <v>5</v>
      </c>
      <c r="N78" t="s">
        <v>365</v>
      </c>
      <c r="O78" t="s">
        <v>13</v>
      </c>
      <c r="P78" t="s">
        <v>35</v>
      </c>
      <c r="Q78" t="s">
        <v>366</v>
      </c>
      <c r="R78">
        <v>9.7080000000000002</v>
      </c>
      <c r="S78">
        <f>Table2[[#This Row],[Ship Date]]-Table2[[#This Row],[Order Date]]</f>
        <v>2</v>
      </c>
    </row>
    <row r="79" spans="1:19" x14ac:dyDescent="0.3">
      <c r="A79">
        <v>78</v>
      </c>
      <c r="B79" t="s">
        <v>360</v>
      </c>
      <c r="C79" s="1">
        <v>43443</v>
      </c>
      <c r="D79" s="1">
        <v>43445</v>
      </c>
      <c r="E79" t="s">
        <v>210</v>
      </c>
      <c r="F79" t="s">
        <v>361</v>
      </c>
      <c r="G79" t="s">
        <v>362</v>
      </c>
      <c r="H79" t="s">
        <v>82</v>
      </c>
      <c r="I79" t="s">
        <v>71</v>
      </c>
      <c r="J79" t="s">
        <v>206</v>
      </c>
      <c r="K79" t="s">
        <v>131</v>
      </c>
      <c r="L79">
        <v>77041</v>
      </c>
      <c r="M79" t="s">
        <v>5</v>
      </c>
      <c r="N79" t="s">
        <v>367</v>
      </c>
      <c r="O79" t="s">
        <v>8</v>
      </c>
      <c r="P79" t="s">
        <v>41</v>
      </c>
      <c r="Q79" t="s">
        <v>368</v>
      </c>
      <c r="R79">
        <v>27.24</v>
      </c>
      <c r="S79">
        <f>Table2[[#This Row],[Ship Date]]-Table2[[#This Row],[Order Date]]</f>
        <v>2</v>
      </c>
    </row>
    <row r="80" spans="1:19" x14ac:dyDescent="0.3">
      <c r="A80">
        <v>79</v>
      </c>
      <c r="B80" t="s">
        <v>369</v>
      </c>
      <c r="C80" s="1">
        <v>42334</v>
      </c>
      <c r="D80" s="1">
        <v>42339</v>
      </c>
      <c r="E80" t="s">
        <v>67</v>
      </c>
      <c r="F80" t="s">
        <v>350</v>
      </c>
      <c r="G80" t="s">
        <v>351</v>
      </c>
      <c r="H80" t="s">
        <v>70</v>
      </c>
      <c r="I80" t="s">
        <v>71</v>
      </c>
      <c r="J80" t="s">
        <v>206</v>
      </c>
      <c r="K80" t="s">
        <v>131</v>
      </c>
      <c r="L80">
        <v>77070</v>
      </c>
      <c r="M80" t="s">
        <v>5</v>
      </c>
      <c r="N80" t="s">
        <v>370</v>
      </c>
      <c r="O80" t="s">
        <v>13</v>
      </c>
      <c r="P80" t="s">
        <v>35</v>
      </c>
      <c r="Q80" t="s">
        <v>371</v>
      </c>
      <c r="R80">
        <v>19.3</v>
      </c>
      <c r="S80">
        <f>Table2[[#This Row],[Ship Date]]-Table2[[#This Row],[Order Date]]</f>
        <v>5</v>
      </c>
    </row>
    <row r="81" spans="1:19" x14ac:dyDescent="0.3">
      <c r="A81">
        <v>80</v>
      </c>
      <c r="B81" t="s">
        <v>372</v>
      </c>
      <c r="C81" s="1">
        <v>42898</v>
      </c>
      <c r="D81" s="1">
        <v>42901</v>
      </c>
      <c r="E81" t="s">
        <v>210</v>
      </c>
      <c r="F81" t="s">
        <v>373</v>
      </c>
      <c r="G81" t="s">
        <v>374</v>
      </c>
      <c r="H81" t="s">
        <v>82</v>
      </c>
      <c r="I81" t="s">
        <v>71</v>
      </c>
      <c r="J81" t="s">
        <v>375</v>
      </c>
      <c r="K81" t="s">
        <v>376</v>
      </c>
      <c r="L81">
        <v>35601</v>
      </c>
      <c r="M81" t="s">
        <v>15</v>
      </c>
      <c r="N81" t="s">
        <v>377</v>
      </c>
      <c r="O81" t="s">
        <v>8</v>
      </c>
      <c r="P81" t="s">
        <v>32</v>
      </c>
      <c r="Q81" t="s">
        <v>378</v>
      </c>
      <c r="R81">
        <v>208.16</v>
      </c>
      <c r="S81">
        <f>Table2[[#This Row],[Ship Date]]-Table2[[#This Row],[Order Date]]</f>
        <v>3</v>
      </c>
    </row>
    <row r="82" spans="1:19" x14ac:dyDescent="0.3">
      <c r="A82">
        <v>81</v>
      </c>
      <c r="B82" t="s">
        <v>372</v>
      </c>
      <c r="C82" s="1">
        <v>42898</v>
      </c>
      <c r="D82" s="1">
        <v>42901</v>
      </c>
      <c r="E82" t="s">
        <v>210</v>
      </c>
      <c r="F82" t="s">
        <v>373</v>
      </c>
      <c r="G82" t="s">
        <v>374</v>
      </c>
      <c r="H82" t="s">
        <v>82</v>
      </c>
      <c r="I82" t="s">
        <v>71</v>
      </c>
      <c r="J82" t="s">
        <v>375</v>
      </c>
      <c r="K82" t="s">
        <v>376</v>
      </c>
      <c r="L82">
        <v>35601</v>
      </c>
      <c r="M82" t="s">
        <v>15</v>
      </c>
      <c r="N82" t="s">
        <v>379</v>
      </c>
      <c r="O82" t="s">
        <v>8</v>
      </c>
      <c r="P82" t="s">
        <v>29</v>
      </c>
      <c r="Q82" t="s">
        <v>380</v>
      </c>
      <c r="R82">
        <v>16.739999999999998</v>
      </c>
      <c r="S82">
        <f>Table2[[#This Row],[Ship Date]]-Table2[[#This Row],[Order Date]]</f>
        <v>3</v>
      </c>
    </row>
    <row r="83" spans="1:19" x14ac:dyDescent="0.3">
      <c r="A83">
        <v>82</v>
      </c>
      <c r="B83" t="s">
        <v>381</v>
      </c>
      <c r="C83" s="1">
        <v>42289</v>
      </c>
      <c r="D83" s="1">
        <v>42293</v>
      </c>
      <c r="E83" t="s">
        <v>88</v>
      </c>
      <c r="F83" t="s">
        <v>382</v>
      </c>
      <c r="G83" t="s">
        <v>383</v>
      </c>
      <c r="H83" t="s">
        <v>70</v>
      </c>
      <c r="I83" t="s">
        <v>71</v>
      </c>
      <c r="J83" t="s">
        <v>153</v>
      </c>
      <c r="K83" t="s">
        <v>84</v>
      </c>
      <c r="L83">
        <v>94122</v>
      </c>
      <c r="M83" t="s">
        <v>20</v>
      </c>
      <c r="N83" t="s">
        <v>384</v>
      </c>
      <c r="O83" t="s">
        <v>8</v>
      </c>
      <c r="P83" t="s">
        <v>38</v>
      </c>
      <c r="Q83" t="s">
        <v>385</v>
      </c>
      <c r="R83">
        <v>14.9</v>
      </c>
      <c r="S83">
        <f>Table2[[#This Row],[Ship Date]]-Table2[[#This Row],[Order Date]]</f>
        <v>4</v>
      </c>
    </row>
    <row r="84" spans="1:19" x14ac:dyDescent="0.3">
      <c r="A84">
        <v>83</v>
      </c>
      <c r="B84" t="s">
        <v>381</v>
      </c>
      <c r="C84" s="1">
        <v>42289</v>
      </c>
      <c r="D84" s="1">
        <v>42293</v>
      </c>
      <c r="E84" t="s">
        <v>88</v>
      </c>
      <c r="F84" t="s">
        <v>382</v>
      </c>
      <c r="G84" t="s">
        <v>383</v>
      </c>
      <c r="H84" t="s">
        <v>70</v>
      </c>
      <c r="I84" t="s">
        <v>71</v>
      </c>
      <c r="J84" t="s">
        <v>153</v>
      </c>
      <c r="K84" t="s">
        <v>84</v>
      </c>
      <c r="L84">
        <v>94122</v>
      </c>
      <c r="M84" t="s">
        <v>20</v>
      </c>
      <c r="N84" t="s">
        <v>386</v>
      </c>
      <c r="O84" t="s">
        <v>8</v>
      </c>
      <c r="P84" t="s">
        <v>41</v>
      </c>
      <c r="Q84" t="s">
        <v>387</v>
      </c>
      <c r="R84">
        <v>21.39</v>
      </c>
      <c r="S84">
        <f>Table2[[#This Row],[Ship Date]]-Table2[[#This Row],[Order Date]]</f>
        <v>4</v>
      </c>
    </row>
    <row r="85" spans="1:19" x14ac:dyDescent="0.3">
      <c r="A85">
        <v>84</v>
      </c>
      <c r="B85" t="s">
        <v>388</v>
      </c>
      <c r="C85" s="1">
        <v>42616</v>
      </c>
      <c r="D85" s="1">
        <v>42621</v>
      </c>
      <c r="E85" t="s">
        <v>88</v>
      </c>
      <c r="F85" t="s">
        <v>389</v>
      </c>
      <c r="G85" t="s">
        <v>390</v>
      </c>
      <c r="H85" t="s">
        <v>82</v>
      </c>
      <c r="I85" t="s">
        <v>71</v>
      </c>
      <c r="J85" t="s">
        <v>391</v>
      </c>
      <c r="K85" t="s">
        <v>116</v>
      </c>
      <c r="L85">
        <v>27707</v>
      </c>
      <c r="M85" t="s">
        <v>15</v>
      </c>
      <c r="N85" t="s">
        <v>392</v>
      </c>
      <c r="O85" t="s">
        <v>8</v>
      </c>
      <c r="P85" t="s">
        <v>19</v>
      </c>
      <c r="Q85" t="s">
        <v>393</v>
      </c>
      <c r="R85">
        <v>200.98400000000001</v>
      </c>
      <c r="S85">
        <f>Table2[[#This Row],[Ship Date]]-Table2[[#This Row],[Order Date]]</f>
        <v>5</v>
      </c>
    </row>
    <row r="86" spans="1:19" x14ac:dyDescent="0.3">
      <c r="A86">
        <v>85</v>
      </c>
      <c r="B86" t="s">
        <v>394</v>
      </c>
      <c r="C86" s="1">
        <v>43417</v>
      </c>
      <c r="D86" s="1">
        <v>43420</v>
      </c>
      <c r="E86" t="s">
        <v>210</v>
      </c>
      <c r="F86" t="s">
        <v>395</v>
      </c>
      <c r="G86" t="s">
        <v>396</v>
      </c>
      <c r="H86" t="s">
        <v>129</v>
      </c>
      <c r="I86" t="s">
        <v>71</v>
      </c>
      <c r="J86" t="s">
        <v>322</v>
      </c>
      <c r="K86" t="s">
        <v>232</v>
      </c>
      <c r="L86">
        <v>60623</v>
      </c>
      <c r="M86" t="s">
        <v>5</v>
      </c>
      <c r="N86" t="s">
        <v>397</v>
      </c>
      <c r="O86" t="s">
        <v>8</v>
      </c>
      <c r="P86" t="s">
        <v>41</v>
      </c>
      <c r="Q86" t="s">
        <v>36</v>
      </c>
      <c r="R86">
        <v>230.376</v>
      </c>
      <c r="S86">
        <f>Table2[[#This Row],[Ship Date]]-Table2[[#This Row],[Order Date]]</f>
        <v>3</v>
      </c>
    </row>
    <row r="87" spans="1:19" x14ac:dyDescent="0.3">
      <c r="A87">
        <v>86</v>
      </c>
      <c r="B87" t="s">
        <v>398</v>
      </c>
      <c r="C87" s="1">
        <v>43248</v>
      </c>
      <c r="D87" s="1">
        <v>43250</v>
      </c>
      <c r="E87" t="s">
        <v>67</v>
      </c>
      <c r="F87" t="s">
        <v>256</v>
      </c>
      <c r="G87" t="s">
        <v>257</v>
      </c>
      <c r="H87" t="s">
        <v>70</v>
      </c>
      <c r="I87" t="s">
        <v>71</v>
      </c>
      <c r="J87" t="s">
        <v>399</v>
      </c>
      <c r="K87" t="s">
        <v>400</v>
      </c>
      <c r="L87">
        <v>29203</v>
      </c>
      <c r="M87" t="s">
        <v>15</v>
      </c>
      <c r="N87" t="s">
        <v>401</v>
      </c>
      <c r="O87" t="s">
        <v>13</v>
      </c>
      <c r="P87" t="s">
        <v>43</v>
      </c>
      <c r="Q87" t="s">
        <v>402</v>
      </c>
      <c r="R87">
        <v>301.95999999999998</v>
      </c>
      <c r="S87">
        <f>Table2[[#This Row],[Ship Date]]-Table2[[#This Row],[Order Date]]</f>
        <v>2</v>
      </c>
    </row>
    <row r="88" spans="1:19" x14ac:dyDescent="0.3">
      <c r="A88">
        <v>87</v>
      </c>
      <c r="B88" t="s">
        <v>403</v>
      </c>
      <c r="C88" s="1">
        <v>43399</v>
      </c>
      <c r="D88" s="1">
        <v>43406</v>
      </c>
      <c r="E88" t="s">
        <v>88</v>
      </c>
      <c r="F88" t="s">
        <v>404</v>
      </c>
      <c r="G88" t="s">
        <v>405</v>
      </c>
      <c r="H88" t="s">
        <v>70</v>
      </c>
      <c r="I88" t="s">
        <v>71</v>
      </c>
      <c r="J88" t="s">
        <v>406</v>
      </c>
      <c r="K88" t="s">
        <v>250</v>
      </c>
      <c r="L88">
        <v>55901</v>
      </c>
      <c r="M88" t="s">
        <v>5</v>
      </c>
      <c r="N88" t="s">
        <v>407</v>
      </c>
      <c r="O88" t="s">
        <v>3</v>
      </c>
      <c r="P88" t="s">
        <v>26</v>
      </c>
      <c r="Q88" t="s">
        <v>408</v>
      </c>
      <c r="R88">
        <v>19.989999999999998</v>
      </c>
      <c r="S88">
        <f>Table2[[#This Row],[Ship Date]]-Table2[[#This Row],[Order Date]]</f>
        <v>7</v>
      </c>
    </row>
    <row r="89" spans="1:19" x14ac:dyDescent="0.3">
      <c r="A89">
        <v>88</v>
      </c>
      <c r="B89" t="s">
        <v>403</v>
      </c>
      <c r="C89" s="1">
        <v>43399</v>
      </c>
      <c r="D89" s="1">
        <v>43406</v>
      </c>
      <c r="E89" t="s">
        <v>88</v>
      </c>
      <c r="F89" t="s">
        <v>404</v>
      </c>
      <c r="G89" t="s">
        <v>405</v>
      </c>
      <c r="H89" t="s">
        <v>70</v>
      </c>
      <c r="I89" t="s">
        <v>71</v>
      </c>
      <c r="J89" t="s">
        <v>406</v>
      </c>
      <c r="K89" t="s">
        <v>250</v>
      </c>
      <c r="L89">
        <v>55901</v>
      </c>
      <c r="M89" t="s">
        <v>5</v>
      </c>
      <c r="N89" t="s">
        <v>409</v>
      </c>
      <c r="O89" t="s">
        <v>8</v>
      </c>
      <c r="P89" t="s">
        <v>14</v>
      </c>
      <c r="Q89" t="s">
        <v>410</v>
      </c>
      <c r="R89">
        <v>6.16</v>
      </c>
      <c r="S89">
        <f>Table2[[#This Row],[Ship Date]]-Table2[[#This Row],[Order Date]]</f>
        <v>7</v>
      </c>
    </row>
    <row r="90" spans="1:19" x14ac:dyDescent="0.3">
      <c r="A90">
        <v>89</v>
      </c>
      <c r="B90" t="s">
        <v>411</v>
      </c>
      <c r="C90" s="1">
        <v>42830</v>
      </c>
      <c r="D90" s="1">
        <v>42835</v>
      </c>
      <c r="E90" t="s">
        <v>67</v>
      </c>
      <c r="F90" t="s">
        <v>412</v>
      </c>
      <c r="G90" t="s">
        <v>413</v>
      </c>
      <c r="H90" t="s">
        <v>129</v>
      </c>
      <c r="I90" t="s">
        <v>71</v>
      </c>
      <c r="J90" t="s">
        <v>206</v>
      </c>
      <c r="K90" t="s">
        <v>131</v>
      </c>
      <c r="L90">
        <v>77095</v>
      </c>
      <c r="M90" t="s">
        <v>5</v>
      </c>
      <c r="N90" t="s">
        <v>414</v>
      </c>
      <c r="O90" t="s">
        <v>8</v>
      </c>
      <c r="P90" t="s">
        <v>41</v>
      </c>
      <c r="Q90" t="s">
        <v>415</v>
      </c>
      <c r="R90">
        <v>158.36799999999999</v>
      </c>
      <c r="S90">
        <f>Table2[[#This Row],[Ship Date]]-Table2[[#This Row],[Order Date]]</f>
        <v>5</v>
      </c>
    </row>
    <row r="91" spans="1:19" x14ac:dyDescent="0.3">
      <c r="A91">
        <v>90</v>
      </c>
      <c r="B91" t="s">
        <v>416</v>
      </c>
      <c r="C91" s="1">
        <v>42995</v>
      </c>
      <c r="D91" s="1">
        <v>43000</v>
      </c>
      <c r="E91" t="s">
        <v>88</v>
      </c>
      <c r="F91" t="s">
        <v>417</v>
      </c>
      <c r="G91" t="s">
        <v>418</v>
      </c>
      <c r="H91" t="s">
        <v>82</v>
      </c>
      <c r="I91" t="s">
        <v>71</v>
      </c>
      <c r="J91" t="s">
        <v>83</v>
      </c>
      <c r="K91" t="s">
        <v>84</v>
      </c>
      <c r="L91">
        <v>90036</v>
      </c>
      <c r="M91" t="s">
        <v>20</v>
      </c>
      <c r="N91" t="s">
        <v>419</v>
      </c>
      <c r="O91" t="s">
        <v>8</v>
      </c>
      <c r="P91" t="s">
        <v>38</v>
      </c>
      <c r="Q91" t="s">
        <v>420</v>
      </c>
      <c r="R91">
        <v>20.100000000000001</v>
      </c>
      <c r="S91">
        <f>Table2[[#This Row],[Ship Date]]-Table2[[#This Row],[Order Date]]</f>
        <v>5</v>
      </c>
    </row>
    <row r="92" spans="1:19" x14ac:dyDescent="0.3">
      <c r="A92">
        <v>91</v>
      </c>
      <c r="B92" t="s">
        <v>416</v>
      </c>
      <c r="C92" s="1">
        <v>42995</v>
      </c>
      <c r="D92" s="1">
        <v>43000</v>
      </c>
      <c r="E92" t="s">
        <v>88</v>
      </c>
      <c r="F92" t="s">
        <v>417</v>
      </c>
      <c r="G92" t="s">
        <v>418</v>
      </c>
      <c r="H92" t="s">
        <v>82</v>
      </c>
      <c r="I92" t="s">
        <v>71</v>
      </c>
      <c r="J92" t="s">
        <v>83</v>
      </c>
      <c r="K92" t="s">
        <v>84</v>
      </c>
      <c r="L92">
        <v>90036</v>
      </c>
      <c r="M92" t="s">
        <v>20</v>
      </c>
      <c r="N92" t="s">
        <v>233</v>
      </c>
      <c r="O92" t="s">
        <v>3</v>
      </c>
      <c r="P92" t="s">
        <v>46</v>
      </c>
      <c r="Q92" t="s">
        <v>234</v>
      </c>
      <c r="R92">
        <v>73.584000000000003</v>
      </c>
      <c r="S92">
        <f>Table2[[#This Row],[Ship Date]]-Table2[[#This Row],[Order Date]]</f>
        <v>5</v>
      </c>
    </row>
    <row r="93" spans="1:19" x14ac:dyDescent="0.3">
      <c r="A93">
        <v>92</v>
      </c>
      <c r="B93" t="s">
        <v>416</v>
      </c>
      <c r="C93" s="1">
        <v>42995</v>
      </c>
      <c r="D93" s="1">
        <v>43000</v>
      </c>
      <c r="E93" t="s">
        <v>88</v>
      </c>
      <c r="F93" t="s">
        <v>417</v>
      </c>
      <c r="G93" t="s">
        <v>418</v>
      </c>
      <c r="H93" t="s">
        <v>82</v>
      </c>
      <c r="I93" t="s">
        <v>71</v>
      </c>
      <c r="J93" t="s">
        <v>83</v>
      </c>
      <c r="K93" t="s">
        <v>84</v>
      </c>
      <c r="L93">
        <v>90036</v>
      </c>
      <c r="M93" t="s">
        <v>20</v>
      </c>
      <c r="N93" t="s">
        <v>421</v>
      </c>
      <c r="O93" t="s">
        <v>8</v>
      </c>
      <c r="P93" t="s">
        <v>23</v>
      </c>
      <c r="Q93" t="s">
        <v>422</v>
      </c>
      <c r="R93">
        <v>6.48</v>
      </c>
      <c r="S93">
        <f>Table2[[#This Row],[Ship Date]]-Table2[[#This Row],[Order Date]]</f>
        <v>5</v>
      </c>
    </row>
    <row r="94" spans="1:19" x14ac:dyDescent="0.3">
      <c r="A94">
        <v>93</v>
      </c>
      <c r="B94" t="s">
        <v>423</v>
      </c>
      <c r="C94" s="1">
        <v>42400</v>
      </c>
      <c r="D94" s="1">
        <v>42405</v>
      </c>
      <c r="E94" t="s">
        <v>67</v>
      </c>
      <c r="F94" t="s">
        <v>424</v>
      </c>
      <c r="G94" t="s">
        <v>425</v>
      </c>
      <c r="H94" t="s">
        <v>70</v>
      </c>
      <c r="I94" t="s">
        <v>71</v>
      </c>
      <c r="J94" t="s">
        <v>426</v>
      </c>
      <c r="K94" t="s">
        <v>250</v>
      </c>
      <c r="L94">
        <v>55407</v>
      </c>
      <c r="M94" t="s">
        <v>5</v>
      </c>
      <c r="N94" t="s">
        <v>427</v>
      </c>
      <c r="O94" t="s">
        <v>8</v>
      </c>
      <c r="P94" t="s">
        <v>23</v>
      </c>
      <c r="Q94" t="s">
        <v>428</v>
      </c>
      <c r="R94">
        <v>12.96</v>
      </c>
      <c r="S94">
        <f>Table2[[#This Row],[Ship Date]]-Table2[[#This Row],[Order Date]]</f>
        <v>5</v>
      </c>
    </row>
    <row r="95" spans="1:19" x14ac:dyDescent="0.3">
      <c r="A95">
        <v>94</v>
      </c>
      <c r="B95" t="s">
        <v>423</v>
      </c>
      <c r="C95" s="1">
        <v>42400</v>
      </c>
      <c r="D95" s="1">
        <v>42405</v>
      </c>
      <c r="E95" t="s">
        <v>67</v>
      </c>
      <c r="F95" t="s">
        <v>424</v>
      </c>
      <c r="G95" t="s">
        <v>425</v>
      </c>
      <c r="H95" t="s">
        <v>70</v>
      </c>
      <c r="I95" t="s">
        <v>71</v>
      </c>
      <c r="J95" t="s">
        <v>426</v>
      </c>
      <c r="K95" t="s">
        <v>250</v>
      </c>
      <c r="L95">
        <v>55407</v>
      </c>
      <c r="M95" t="s">
        <v>5</v>
      </c>
      <c r="N95" t="s">
        <v>429</v>
      </c>
      <c r="O95" t="s">
        <v>13</v>
      </c>
      <c r="P95" t="s">
        <v>35</v>
      </c>
      <c r="Q95" t="s">
        <v>430</v>
      </c>
      <c r="R95">
        <v>53.34</v>
      </c>
      <c r="S95">
        <f>Table2[[#This Row],[Ship Date]]-Table2[[#This Row],[Order Date]]</f>
        <v>5</v>
      </c>
    </row>
    <row r="96" spans="1:19" x14ac:dyDescent="0.3">
      <c r="A96">
        <v>95</v>
      </c>
      <c r="B96" t="s">
        <v>423</v>
      </c>
      <c r="C96" s="1">
        <v>42400</v>
      </c>
      <c r="D96" s="1">
        <v>42405</v>
      </c>
      <c r="E96" t="s">
        <v>67</v>
      </c>
      <c r="F96" t="s">
        <v>424</v>
      </c>
      <c r="G96" t="s">
        <v>425</v>
      </c>
      <c r="H96" t="s">
        <v>70</v>
      </c>
      <c r="I96" t="s">
        <v>71</v>
      </c>
      <c r="J96" t="s">
        <v>426</v>
      </c>
      <c r="K96" t="s">
        <v>250</v>
      </c>
      <c r="L96">
        <v>55407</v>
      </c>
      <c r="M96" t="s">
        <v>5</v>
      </c>
      <c r="N96" t="s">
        <v>431</v>
      </c>
      <c r="O96" t="s">
        <v>8</v>
      </c>
      <c r="P96" t="s">
        <v>29</v>
      </c>
      <c r="Q96" t="s">
        <v>432</v>
      </c>
      <c r="R96">
        <v>32.96</v>
      </c>
      <c r="S96">
        <f>Table2[[#This Row],[Ship Date]]-Table2[[#This Row],[Order Date]]</f>
        <v>5</v>
      </c>
    </row>
    <row r="97" spans="1:19" x14ac:dyDescent="0.3">
      <c r="A97">
        <v>96</v>
      </c>
      <c r="B97" t="s">
        <v>433</v>
      </c>
      <c r="C97" s="1">
        <v>43410</v>
      </c>
      <c r="D97" s="1">
        <v>43416</v>
      </c>
      <c r="E97" t="s">
        <v>88</v>
      </c>
      <c r="F97" t="s">
        <v>434</v>
      </c>
      <c r="G97" t="s">
        <v>435</v>
      </c>
      <c r="H97" t="s">
        <v>129</v>
      </c>
      <c r="I97" t="s">
        <v>71</v>
      </c>
      <c r="J97" t="s">
        <v>436</v>
      </c>
      <c r="K97" t="s">
        <v>437</v>
      </c>
      <c r="L97">
        <v>97206</v>
      </c>
      <c r="M97" t="s">
        <v>20</v>
      </c>
      <c r="N97" t="s">
        <v>438</v>
      </c>
      <c r="O97" t="s">
        <v>8</v>
      </c>
      <c r="P97" t="s">
        <v>29</v>
      </c>
      <c r="Q97" t="s">
        <v>439</v>
      </c>
      <c r="R97">
        <v>5.6820000000000004</v>
      </c>
      <c r="S97">
        <f>Table2[[#This Row],[Ship Date]]-Table2[[#This Row],[Order Date]]</f>
        <v>6</v>
      </c>
    </row>
    <row r="98" spans="1:19" x14ac:dyDescent="0.3">
      <c r="A98">
        <v>97</v>
      </c>
      <c r="B98" t="s">
        <v>440</v>
      </c>
      <c r="C98" s="1">
        <v>43413</v>
      </c>
      <c r="D98" s="1">
        <v>43415</v>
      </c>
      <c r="E98" t="s">
        <v>67</v>
      </c>
      <c r="F98" t="s">
        <v>441</v>
      </c>
      <c r="G98" t="s">
        <v>442</v>
      </c>
      <c r="H98" t="s">
        <v>129</v>
      </c>
      <c r="I98" t="s">
        <v>71</v>
      </c>
      <c r="J98" t="s">
        <v>287</v>
      </c>
      <c r="K98" t="s">
        <v>288</v>
      </c>
      <c r="L98">
        <v>10009</v>
      </c>
      <c r="M98" t="s">
        <v>10</v>
      </c>
      <c r="N98" t="s">
        <v>443</v>
      </c>
      <c r="O98" t="s">
        <v>13</v>
      </c>
      <c r="P98" t="s">
        <v>35</v>
      </c>
      <c r="Q98" t="s">
        <v>444</v>
      </c>
      <c r="R98">
        <v>96.53</v>
      </c>
      <c r="S98">
        <f>Table2[[#This Row],[Ship Date]]-Table2[[#This Row],[Order Date]]</f>
        <v>2</v>
      </c>
    </row>
    <row r="99" spans="1:19" x14ac:dyDescent="0.3">
      <c r="A99">
        <v>98</v>
      </c>
      <c r="B99" t="s">
        <v>445</v>
      </c>
      <c r="C99" s="1">
        <v>43268</v>
      </c>
      <c r="D99" s="1">
        <v>43271</v>
      </c>
      <c r="E99" t="s">
        <v>210</v>
      </c>
      <c r="F99" t="s">
        <v>446</v>
      </c>
      <c r="G99" t="s">
        <v>447</v>
      </c>
      <c r="H99" t="s">
        <v>70</v>
      </c>
      <c r="I99" t="s">
        <v>71</v>
      </c>
      <c r="J99" t="s">
        <v>153</v>
      </c>
      <c r="K99" t="s">
        <v>84</v>
      </c>
      <c r="L99">
        <v>94122</v>
      </c>
      <c r="M99" t="s">
        <v>20</v>
      </c>
      <c r="N99" t="s">
        <v>448</v>
      </c>
      <c r="O99" t="s">
        <v>8</v>
      </c>
      <c r="P99" t="s">
        <v>29</v>
      </c>
      <c r="Q99" t="s">
        <v>449</v>
      </c>
      <c r="R99">
        <v>51.311999999999998</v>
      </c>
      <c r="S99">
        <f>Table2[[#This Row],[Ship Date]]-Table2[[#This Row],[Order Date]]</f>
        <v>3</v>
      </c>
    </row>
    <row r="100" spans="1:19" x14ac:dyDescent="0.3">
      <c r="A100">
        <v>99</v>
      </c>
      <c r="B100" t="s">
        <v>450</v>
      </c>
      <c r="C100" s="1">
        <v>42984</v>
      </c>
      <c r="D100" s="1">
        <v>42989</v>
      </c>
      <c r="E100" t="s">
        <v>88</v>
      </c>
      <c r="F100" t="s">
        <v>451</v>
      </c>
      <c r="G100" t="s">
        <v>452</v>
      </c>
      <c r="H100" t="s">
        <v>82</v>
      </c>
      <c r="I100" t="s">
        <v>71</v>
      </c>
      <c r="J100" t="s">
        <v>453</v>
      </c>
      <c r="K100" t="s">
        <v>250</v>
      </c>
      <c r="L100">
        <v>55106</v>
      </c>
      <c r="M100" t="s">
        <v>5</v>
      </c>
      <c r="N100" t="s">
        <v>454</v>
      </c>
      <c r="O100" t="s">
        <v>8</v>
      </c>
      <c r="P100" t="s">
        <v>32</v>
      </c>
      <c r="Q100" t="s">
        <v>455</v>
      </c>
      <c r="R100">
        <v>77.88</v>
      </c>
      <c r="S100">
        <f>Table2[[#This Row],[Ship Date]]-Table2[[#This Row],[Order Date]]</f>
        <v>5</v>
      </c>
    </row>
    <row r="101" spans="1:19" x14ac:dyDescent="0.3">
      <c r="A101">
        <v>100</v>
      </c>
      <c r="B101" t="s">
        <v>456</v>
      </c>
      <c r="C101" s="1">
        <v>42976</v>
      </c>
      <c r="D101" s="1">
        <v>42980</v>
      </c>
      <c r="E101" t="s">
        <v>88</v>
      </c>
      <c r="F101" t="s">
        <v>457</v>
      </c>
      <c r="G101" t="s">
        <v>458</v>
      </c>
      <c r="H101" t="s">
        <v>129</v>
      </c>
      <c r="I101" t="s">
        <v>71</v>
      </c>
      <c r="J101" t="s">
        <v>322</v>
      </c>
      <c r="K101" t="s">
        <v>232</v>
      </c>
      <c r="L101">
        <v>60610</v>
      </c>
      <c r="M101" t="s">
        <v>5</v>
      </c>
      <c r="N101" t="s">
        <v>459</v>
      </c>
      <c r="O101" t="s">
        <v>8</v>
      </c>
      <c r="P101" t="s">
        <v>23</v>
      </c>
      <c r="Q101" t="s">
        <v>460</v>
      </c>
      <c r="R101">
        <v>64.623999999999995</v>
      </c>
      <c r="S101">
        <f>Table2[[#This Row],[Ship Date]]-Table2[[#This Row],[Order Date]]</f>
        <v>4</v>
      </c>
    </row>
    <row r="102" spans="1:19" x14ac:dyDescent="0.3">
      <c r="A102">
        <v>101</v>
      </c>
      <c r="B102" t="s">
        <v>456</v>
      </c>
      <c r="C102" s="1">
        <v>42976</v>
      </c>
      <c r="D102" s="1">
        <v>42980</v>
      </c>
      <c r="E102" t="s">
        <v>88</v>
      </c>
      <c r="F102" t="s">
        <v>457</v>
      </c>
      <c r="G102" t="s">
        <v>458</v>
      </c>
      <c r="H102" t="s">
        <v>129</v>
      </c>
      <c r="I102" t="s">
        <v>71</v>
      </c>
      <c r="J102" t="s">
        <v>322</v>
      </c>
      <c r="K102" t="s">
        <v>232</v>
      </c>
      <c r="L102">
        <v>60610</v>
      </c>
      <c r="M102" t="s">
        <v>5</v>
      </c>
      <c r="N102" t="s">
        <v>461</v>
      </c>
      <c r="O102" t="s">
        <v>3</v>
      </c>
      <c r="P102" t="s">
        <v>26</v>
      </c>
      <c r="Q102" t="s">
        <v>462</v>
      </c>
      <c r="R102">
        <v>95.975999999999999</v>
      </c>
      <c r="S102">
        <f>Table2[[#This Row],[Ship Date]]-Table2[[#This Row],[Order Date]]</f>
        <v>4</v>
      </c>
    </row>
    <row r="103" spans="1:19" x14ac:dyDescent="0.3">
      <c r="A103">
        <v>102</v>
      </c>
      <c r="B103" t="s">
        <v>456</v>
      </c>
      <c r="C103" s="1">
        <v>42976</v>
      </c>
      <c r="D103" s="1">
        <v>42980</v>
      </c>
      <c r="E103" t="s">
        <v>88</v>
      </c>
      <c r="F103" t="s">
        <v>457</v>
      </c>
      <c r="G103" t="s">
        <v>458</v>
      </c>
      <c r="H103" t="s">
        <v>129</v>
      </c>
      <c r="I103" t="s">
        <v>71</v>
      </c>
      <c r="J103" t="s">
        <v>322</v>
      </c>
      <c r="K103" t="s">
        <v>232</v>
      </c>
      <c r="L103">
        <v>60610</v>
      </c>
      <c r="M103" t="s">
        <v>5</v>
      </c>
      <c r="N103" t="s">
        <v>463</v>
      </c>
      <c r="O103" t="s">
        <v>8</v>
      </c>
      <c r="P103" t="s">
        <v>29</v>
      </c>
      <c r="Q103" t="s">
        <v>464</v>
      </c>
      <c r="R103">
        <v>1.788</v>
      </c>
      <c r="S103">
        <f>Table2[[#This Row],[Ship Date]]-Table2[[#This Row],[Order Date]]</f>
        <v>4</v>
      </c>
    </row>
    <row r="104" spans="1:19" x14ac:dyDescent="0.3">
      <c r="A104">
        <v>103</v>
      </c>
      <c r="B104" t="s">
        <v>465</v>
      </c>
      <c r="C104" s="1">
        <v>43070</v>
      </c>
      <c r="D104" s="1">
        <v>43073</v>
      </c>
      <c r="E104" t="s">
        <v>67</v>
      </c>
      <c r="F104" t="s">
        <v>466</v>
      </c>
      <c r="G104" t="s">
        <v>467</v>
      </c>
      <c r="H104" t="s">
        <v>70</v>
      </c>
      <c r="I104" t="s">
        <v>71</v>
      </c>
      <c r="J104" t="s">
        <v>406</v>
      </c>
      <c r="K104" t="s">
        <v>250</v>
      </c>
      <c r="L104">
        <v>55901</v>
      </c>
      <c r="M104" t="s">
        <v>5</v>
      </c>
      <c r="N104" t="s">
        <v>468</v>
      </c>
      <c r="O104" t="s">
        <v>8</v>
      </c>
      <c r="P104" t="s">
        <v>23</v>
      </c>
      <c r="Q104" t="s">
        <v>469</v>
      </c>
      <c r="R104">
        <v>23.92</v>
      </c>
      <c r="S104">
        <f>Table2[[#This Row],[Ship Date]]-Table2[[#This Row],[Order Date]]</f>
        <v>3</v>
      </c>
    </row>
    <row r="105" spans="1:19" x14ac:dyDescent="0.3">
      <c r="A105">
        <v>104</v>
      </c>
      <c r="B105" t="s">
        <v>470</v>
      </c>
      <c r="C105" s="1">
        <v>42687</v>
      </c>
      <c r="D105" s="1">
        <v>42691</v>
      </c>
      <c r="E105" t="s">
        <v>88</v>
      </c>
      <c r="F105" t="s">
        <v>471</v>
      </c>
      <c r="G105" t="s">
        <v>472</v>
      </c>
      <c r="H105" t="s">
        <v>70</v>
      </c>
      <c r="I105" t="s">
        <v>71</v>
      </c>
      <c r="J105" t="s">
        <v>473</v>
      </c>
      <c r="K105" t="s">
        <v>474</v>
      </c>
      <c r="L105">
        <v>80013</v>
      </c>
      <c r="M105" t="s">
        <v>20</v>
      </c>
      <c r="N105" t="s">
        <v>475</v>
      </c>
      <c r="O105" t="s">
        <v>3</v>
      </c>
      <c r="P105" t="s">
        <v>26</v>
      </c>
      <c r="Q105" t="s">
        <v>476</v>
      </c>
      <c r="R105">
        <v>238.89599999999999</v>
      </c>
      <c r="S105">
        <f>Table2[[#This Row],[Ship Date]]-Table2[[#This Row],[Order Date]]</f>
        <v>4</v>
      </c>
    </row>
    <row r="106" spans="1:19" x14ac:dyDescent="0.3">
      <c r="A106">
        <v>105</v>
      </c>
      <c r="B106" t="s">
        <v>470</v>
      </c>
      <c r="C106" s="1">
        <v>42687</v>
      </c>
      <c r="D106" s="1">
        <v>42691</v>
      </c>
      <c r="E106" t="s">
        <v>88</v>
      </c>
      <c r="F106" t="s">
        <v>471</v>
      </c>
      <c r="G106" t="s">
        <v>472</v>
      </c>
      <c r="H106" t="s">
        <v>70</v>
      </c>
      <c r="I106" t="s">
        <v>71</v>
      </c>
      <c r="J106" t="s">
        <v>473</v>
      </c>
      <c r="K106" t="s">
        <v>474</v>
      </c>
      <c r="L106">
        <v>80013</v>
      </c>
      <c r="M106" t="s">
        <v>20</v>
      </c>
      <c r="N106" t="s">
        <v>477</v>
      </c>
      <c r="O106" t="s">
        <v>13</v>
      </c>
      <c r="P106" t="s">
        <v>35</v>
      </c>
      <c r="Q106" t="s">
        <v>478</v>
      </c>
      <c r="R106">
        <v>102.36</v>
      </c>
      <c r="S106">
        <f>Table2[[#This Row],[Ship Date]]-Table2[[#This Row],[Order Date]]</f>
        <v>4</v>
      </c>
    </row>
    <row r="107" spans="1:19" x14ac:dyDescent="0.3">
      <c r="A107">
        <v>106</v>
      </c>
      <c r="B107" t="s">
        <v>470</v>
      </c>
      <c r="C107" s="1">
        <v>42687</v>
      </c>
      <c r="D107" s="1">
        <v>42691</v>
      </c>
      <c r="E107" t="s">
        <v>88</v>
      </c>
      <c r="F107" t="s">
        <v>471</v>
      </c>
      <c r="G107" t="s">
        <v>472</v>
      </c>
      <c r="H107" t="s">
        <v>70</v>
      </c>
      <c r="I107" t="s">
        <v>71</v>
      </c>
      <c r="J107" t="s">
        <v>473</v>
      </c>
      <c r="K107" t="s">
        <v>474</v>
      </c>
      <c r="L107">
        <v>80013</v>
      </c>
      <c r="M107" t="s">
        <v>20</v>
      </c>
      <c r="N107" t="s">
        <v>479</v>
      </c>
      <c r="O107" t="s">
        <v>8</v>
      </c>
      <c r="P107" t="s">
        <v>29</v>
      </c>
      <c r="Q107" t="s">
        <v>480</v>
      </c>
      <c r="R107">
        <v>36.881999999999998</v>
      </c>
      <c r="S107">
        <f>Table2[[#This Row],[Ship Date]]-Table2[[#This Row],[Order Date]]</f>
        <v>4</v>
      </c>
    </row>
    <row r="108" spans="1:19" x14ac:dyDescent="0.3">
      <c r="A108">
        <v>107</v>
      </c>
      <c r="B108" t="s">
        <v>481</v>
      </c>
      <c r="C108" s="1">
        <v>43427</v>
      </c>
      <c r="D108" s="1">
        <v>43432</v>
      </c>
      <c r="E108" t="s">
        <v>88</v>
      </c>
      <c r="F108" t="s">
        <v>482</v>
      </c>
      <c r="G108" t="s">
        <v>483</v>
      </c>
      <c r="H108" t="s">
        <v>70</v>
      </c>
      <c r="I108" t="s">
        <v>71</v>
      </c>
      <c r="J108" t="s">
        <v>484</v>
      </c>
      <c r="K108" t="s">
        <v>116</v>
      </c>
      <c r="L108">
        <v>28205</v>
      </c>
      <c r="M108" t="s">
        <v>15</v>
      </c>
      <c r="N108" t="s">
        <v>485</v>
      </c>
      <c r="O108" t="s">
        <v>3</v>
      </c>
      <c r="P108" t="s">
        <v>26</v>
      </c>
      <c r="Q108" t="s">
        <v>486</v>
      </c>
      <c r="R108">
        <v>74.111999999999995</v>
      </c>
      <c r="S108">
        <f>Table2[[#This Row],[Ship Date]]-Table2[[#This Row],[Order Date]]</f>
        <v>5</v>
      </c>
    </row>
    <row r="109" spans="1:19" x14ac:dyDescent="0.3">
      <c r="A109">
        <v>108</v>
      </c>
      <c r="B109" t="s">
        <v>481</v>
      </c>
      <c r="C109" s="1">
        <v>43427</v>
      </c>
      <c r="D109" s="1">
        <v>43432</v>
      </c>
      <c r="E109" t="s">
        <v>88</v>
      </c>
      <c r="F109" t="s">
        <v>482</v>
      </c>
      <c r="G109" t="s">
        <v>483</v>
      </c>
      <c r="H109" t="s">
        <v>70</v>
      </c>
      <c r="I109" t="s">
        <v>71</v>
      </c>
      <c r="J109" t="s">
        <v>484</v>
      </c>
      <c r="K109" t="s">
        <v>116</v>
      </c>
      <c r="L109">
        <v>28205</v>
      </c>
      <c r="M109" t="s">
        <v>15</v>
      </c>
      <c r="N109" t="s">
        <v>487</v>
      </c>
      <c r="O109" t="s">
        <v>3</v>
      </c>
      <c r="P109" t="s">
        <v>46</v>
      </c>
      <c r="Q109" t="s">
        <v>488</v>
      </c>
      <c r="R109">
        <v>27.992000000000001</v>
      </c>
      <c r="S109">
        <f>Table2[[#This Row],[Ship Date]]-Table2[[#This Row],[Order Date]]</f>
        <v>5</v>
      </c>
    </row>
    <row r="110" spans="1:19" x14ac:dyDescent="0.3">
      <c r="A110">
        <v>109</v>
      </c>
      <c r="B110" t="s">
        <v>481</v>
      </c>
      <c r="C110" s="1">
        <v>43427</v>
      </c>
      <c r="D110" s="1">
        <v>43432</v>
      </c>
      <c r="E110" t="s">
        <v>88</v>
      </c>
      <c r="F110" t="s">
        <v>482</v>
      </c>
      <c r="G110" t="s">
        <v>483</v>
      </c>
      <c r="H110" t="s">
        <v>70</v>
      </c>
      <c r="I110" t="s">
        <v>71</v>
      </c>
      <c r="J110" t="s">
        <v>484</v>
      </c>
      <c r="K110" t="s">
        <v>116</v>
      </c>
      <c r="L110">
        <v>28205</v>
      </c>
      <c r="M110" t="s">
        <v>15</v>
      </c>
      <c r="N110" t="s">
        <v>489</v>
      </c>
      <c r="O110" t="s">
        <v>8</v>
      </c>
      <c r="P110" t="s">
        <v>38</v>
      </c>
      <c r="Q110" t="s">
        <v>490</v>
      </c>
      <c r="R110">
        <v>3.3039999999999998</v>
      </c>
      <c r="S110">
        <f>Table2[[#This Row],[Ship Date]]-Table2[[#This Row],[Order Date]]</f>
        <v>5</v>
      </c>
    </row>
    <row r="111" spans="1:19" x14ac:dyDescent="0.3">
      <c r="A111">
        <v>110</v>
      </c>
      <c r="B111" t="s">
        <v>491</v>
      </c>
      <c r="C111" s="1">
        <v>42658</v>
      </c>
      <c r="D111" s="1">
        <v>42663</v>
      </c>
      <c r="E111" t="s">
        <v>88</v>
      </c>
      <c r="F111" t="s">
        <v>492</v>
      </c>
      <c r="G111" t="s">
        <v>493</v>
      </c>
      <c r="H111" t="s">
        <v>129</v>
      </c>
      <c r="I111" t="s">
        <v>71</v>
      </c>
      <c r="J111" t="s">
        <v>494</v>
      </c>
      <c r="K111" t="s">
        <v>232</v>
      </c>
      <c r="L111">
        <v>60462</v>
      </c>
      <c r="M111" t="s">
        <v>5</v>
      </c>
      <c r="N111" t="s">
        <v>495</v>
      </c>
      <c r="O111" t="s">
        <v>3</v>
      </c>
      <c r="P111" t="s">
        <v>26</v>
      </c>
      <c r="Q111" t="s">
        <v>496</v>
      </c>
      <c r="R111">
        <v>339.96</v>
      </c>
      <c r="S111">
        <f>Table2[[#This Row],[Ship Date]]-Table2[[#This Row],[Order Date]]</f>
        <v>5</v>
      </c>
    </row>
    <row r="112" spans="1:19" x14ac:dyDescent="0.3">
      <c r="A112">
        <v>111</v>
      </c>
      <c r="B112" t="s">
        <v>497</v>
      </c>
      <c r="C112" s="1">
        <v>43459</v>
      </c>
      <c r="D112" s="1">
        <v>43464</v>
      </c>
      <c r="E112" t="s">
        <v>88</v>
      </c>
      <c r="F112" t="s">
        <v>498</v>
      </c>
      <c r="G112" t="s">
        <v>499</v>
      </c>
      <c r="H112" t="s">
        <v>82</v>
      </c>
      <c r="I112" t="s">
        <v>71</v>
      </c>
      <c r="J112" t="s">
        <v>287</v>
      </c>
      <c r="K112" t="s">
        <v>288</v>
      </c>
      <c r="L112">
        <v>10035</v>
      </c>
      <c r="M112" t="s">
        <v>10</v>
      </c>
      <c r="N112" t="s">
        <v>500</v>
      </c>
      <c r="O112" t="s">
        <v>13</v>
      </c>
      <c r="P112" t="s">
        <v>35</v>
      </c>
      <c r="Q112" t="s">
        <v>501</v>
      </c>
      <c r="R112">
        <v>41.96</v>
      </c>
      <c r="S112">
        <f>Table2[[#This Row],[Ship Date]]-Table2[[#This Row],[Order Date]]</f>
        <v>5</v>
      </c>
    </row>
    <row r="113" spans="1:19" x14ac:dyDescent="0.3">
      <c r="A113">
        <v>112</v>
      </c>
      <c r="B113" t="s">
        <v>502</v>
      </c>
      <c r="C113" s="1">
        <v>43042</v>
      </c>
      <c r="D113" s="1">
        <v>43049</v>
      </c>
      <c r="E113" t="s">
        <v>88</v>
      </c>
      <c r="F113" t="s">
        <v>503</v>
      </c>
      <c r="G113" t="s">
        <v>504</v>
      </c>
      <c r="H113" t="s">
        <v>70</v>
      </c>
      <c r="I113" t="s">
        <v>71</v>
      </c>
      <c r="J113" t="s">
        <v>505</v>
      </c>
      <c r="K113" t="s">
        <v>506</v>
      </c>
      <c r="L113">
        <v>50322</v>
      </c>
      <c r="M113" t="s">
        <v>5</v>
      </c>
      <c r="N113" t="s">
        <v>507</v>
      </c>
      <c r="O113" t="s">
        <v>8</v>
      </c>
      <c r="P113" t="s">
        <v>38</v>
      </c>
      <c r="Q113" t="s">
        <v>508</v>
      </c>
      <c r="R113">
        <v>75.959999999999994</v>
      </c>
      <c r="S113">
        <f>Table2[[#This Row],[Ship Date]]-Table2[[#This Row],[Order Date]]</f>
        <v>7</v>
      </c>
    </row>
    <row r="114" spans="1:19" x14ac:dyDescent="0.3">
      <c r="A114">
        <v>113</v>
      </c>
      <c r="B114" t="s">
        <v>502</v>
      </c>
      <c r="C114" s="1">
        <v>43042</v>
      </c>
      <c r="D114" s="1">
        <v>43049</v>
      </c>
      <c r="E114" t="s">
        <v>88</v>
      </c>
      <c r="F114" t="s">
        <v>503</v>
      </c>
      <c r="G114" t="s">
        <v>504</v>
      </c>
      <c r="H114" t="s">
        <v>70</v>
      </c>
      <c r="I114" t="s">
        <v>71</v>
      </c>
      <c r="J114" t="s">
        <v>505</v>
      </c>
      <c r="K114" t="s">
        <v>506</v>
      </c>
      <c r="L114">
        <v>50322</v>
      </c>
      <c r="M114" t="s">
        <v>5</v>
      </c>
      <c r="N114" t="s">
        <v>509</v>
      </c>
      <c r="O114" t="s">
        <v>8</v>
      </c>
      <c r="P114" t="s">
        <v>29</v>
      </c>
      <c r="Q114" t="s">
        <v>510</v>
      </c>
      <c r="R114">
        <v>27.24</v>
      </c>
      <c r="S114">
        <f>Table2[[#This Row],[Ship Date]]-Table2[[#This Row],[Order Date]]</f>
        <v>7</v>
      </c>
    </row>
    <row r="115" spans="1:19" x14ac:dyDescent="0.3">
      <c r="A115">
        <v>114</v>
      </c>
      <c r="B115" t="s">
        <v>511</v>
      </c>
      <c r="C115" s="1">
        <v>42241</v>
      </c>
      <c r="D115" s="1">
        <v>42243</v>
      </c>
      <c r="E115" t="s">
        <v>67</v>
      </c>
      <c r="F115" t="s">
        <v>512</v>
      </c>
      <c r="G115" t="s">
        <v>513</v>
      </c>
      <c r="H115" t="s">
        <v>70</v>
      </c>
      <c r="I115" t="s">
        <v>71</v>
      </c>
      <c r="J115" t="s">
        <v>514</v>
      </c>
      <c r="K115" t="s">
        <v>515</v>
      </c>
      <c r="L115">
        <v>43229</v>
      </c>
      <c r="M115" t="s">
        <v>10</v>
      </c>
      <c r="N115" t="s">
        <v>516</v>
      </c>
      <c r="O115" t="s">
        <v>8</v>
      </c>
      <c r="P115" t="s">
        <v>9</v>
      </c>
      <c r="Q115" t="s">
        <v>517</v>
      </c>
      <c r="R115">
        <v>40.095999999999997</v>
      </c>
      <c r="S115">
        <f>Table2[[#This Row],[Ship Date]]-Table2[[#This Row],[Order Date]]</f>
        <v>2</v>
      </c>
    </row>
    <row r="116" spans="1:19" x14ac:dyDescent="0.3">
      <c r="A116">
        <v>115</v>
      </c>
      <c r="B116" t="s">
        <v>511</v>
      </c>
      <c r="C116" s="1">
        <v>42241</v>
      </c>
      <c r="D116" s="1">
        <v>42243</v>
      </c>
      <c r="E116" t="s">
        <v>67</v>
      </c>
      <c r="F116" t="s">
        <v>512</v>
      </c>
      <c r="G116" t="s">
        <v>513</v>
      </c>
      <c r="H116" t="s">
        <v>70</v>
      </c>
      <c r="I116" t="s">
        <v>71</v>
      </c>
      <c r="J116" t="s">
        <v>514</v>
      </c>
      <c r="K116" t="s">
        <v>515</v>
      </c>
      <c r="L116">
        <v>43229</v>
      </c>
      <c r="M116" t="s">
        <v>10</v>
      </c>
      <c r="N116" t="s">
        <v>518</v>
      </c>
      <c r="O116" t="s">
        <v>8</v>
      </c>
      <c r="P116" t="s">
        <v>19</v>
      </c>
      <c r="Q116" t="s">
        <v>519</v>
      </c>
      <c r="R116">
        <v>4.72</v>
      </c>
      <c r="S116">
        <f>Table2[[#This Row],[Ship Date]]-Table2[[#This Row],[Order Date]]</f>
        <v>2</v>
      </c>
    </row>
    <row r="117" spans="1:19" x14ac:dyDescent="0.3">
      <c r="A117">
        <v>116</v>
      </c>
      <c r="B117" t="s">
        <v>511</v>
      </c>
      <c r="C117" s="1">
        <v>42241</v>
      </c>
      <c r="D117" s="1">
        <v>42243</v>
      </c>
      <c r="E117" t="s">
        <v>67</v>
      </c>
      <c r="F117" t="s">
        <v>512</v>
      </c>
      <c r="G117" t="s">
        <v>513</v>
      </c>
      <c r="H117" t="s">
        <v>70</v>
      </c>
      <c r="I117" t="s">
        <v>71</v>
      </c>
      <c r="J117" t="s">
        <v>514</v>
      </c>
      <c r="K117" t="s">
        <v>515</v>
      </c>
      <c r="L117">
        <v>43229</v>
      </c>
      <c r="M117" t="s">
        <v>10</v>
      </c>
      <c r="N117" t="s">
        <v>520</v>
      </c>
      <c r="O117" t="s">
        <v>8</v>
      </c>
      <c r="P117" t="s">
        <v>23</v>
      </c>
      <c r="Q117" t="s">
        <v>521</v>
      </c>
      <c r="R117">
        <v>23.975999999999999</v>
      </c>
      <c r="S117">
        <f>Table2[[#This Row],[Ship Date]]-Table2[[#This Row],[Order Date]]</f>
        <v>2</v>
      </c>
    </row>
    <row r="118" spans="1:19" x14ac:dyDescent="0.3">
      <c r="A118">
        <v>117</v>
      </c>
      <c r="B118" t="s">
        <v>511</v>
      </c>
      <c r="C118" s="1">
        <v>42241</v>
      </c>
      <c r="D118" s="1">
        <v>42243</v>
      </c>
      <c r="E118" t="s">
        <v>67</v>
      </c>
      <c r="F118" t="s">
        <v>512</v>
      </c>
      <c r="G118" t="s">
        <v>513</v>
      </c>
      <c r="H118" t="s">
        <v>70</v>
      </c>
      <c r="I118" t="s">
        <v>71</v>
      </c>
      <c r="J118" t="s">
        <v>514</v>
      </c>
      <c r="K118" t="s">
        <v>515</v>
      </c>
      <c r="L118">
        <v>43229</v>
      </c>
      <c r="M118" t="s">
        <v>10</v>
      </c>
      <c r="N118" t="s">
        <v>522</v>
      </c>
      <c r="O118" t="s">
        <v>8</v>
      </c>
      <c r="P118" t="s">
        <v>19</v>
      </c>
      <c r="Q118" t="s">
        <v>523</v>
      </c>
      <c r="R118">
        <v>130.464</v>
      </c>
      <c r="S118">
        <f>Table2[[#This Row],[Ship Date]]-Table2[[#This Row],[Order Date]]</f>
        <v>2</v>
      </c>
    </row>
    <row r="119" spans="1:19" x14ac:dyDescent="0.3">
      <c r="A119">
        <v>118</v>
      </c>
      <c r="B119" t="s">
        <v>524</v>
      </c>
      <c r="C119" s="1">
        <v>42431</v>
      </c>
      <c r="D119" s="1">
        <v>42435</v>
      </c>
      <c r="E119" t="s">
        <v>88</v>
      </c>
      <c r="F119" t="s">
        <v>525</v>
      </c>
      <c r="G119" t="s">
        <v>526</v>
      </c>
      <c r="H119" t="s">
        <v>70</v>
      </c>
      <c r="I119" t="s">
        <v>71</v>
      </c>
      <c r="J119" t="s">
        <v>122</v>
      </c>
      <c r="K119" t="s">
        <v>123</v>
      </c>
      <c r="L119">
        <v>98103</v>
      </c>
      <c r="M119" t="s">
        <v>20</v>
      </c>
      <c r="N119" t="s">
        <v>527</v>
      </c>
      <c r="O119" t="s">
        <v>13</v>
      </c>
      <c r="P119" t="s">
        <v>45</v>
      </c>
      <c r="Q119" t="s">
        <v>528</v>
      </c>
      <c r="R119">
        <v>787.53</v>
      </c>
      <c r="S119">
        <f>Table2[[#This Row],[Ship Date]]-Table2[[#This Row],[Order Date]]</f>
        <v>4</v>
      </c>
    </row>
    <row r="120" spans="1:19" x14ac:dyDescent="0.3">
      <c r="A120">
        <v>119</v>
      </c>
      <c r="B120" t="s">
        <v>529</v>
      </c>
      <c r="C120" s="1">
        <v>42465</v>
      </c>
      <c r="D120" s="1">
        <v>42470</v>
      </c>
      <c r="E120" t="s">
        <v>88</v>
      </c>
      <c r="F120" t="s">
        <v>530</v>
      </c>
      <c r="G120" t="s">
        <v>531</v>
      </c>
      <c r="H120" t="s">
        <v>82</v>
      </c>
      <c r="I120" t="s">
        <v>71</v>
      </c>
      <c r="J120" t="s">
        <v>532</v>
      </c>
      <c r="K120" t="s">
        <v>353</v>
      </c>
      <c r="L120">
        <v>37620</v>
      </c>
      <c r="M120" t="s">
        <v>15</v>
      </c>
      <c r="N120" t="s">
        <v>533</v>
      </c>
      <c r="O120" t="s">
        <v>8</v>
      </c>
      <c r="P120" t="s">
        <v>29</v>
      </c>
      <c r="Q120" t="s">
        <v>534</v>
      </c>
      <c r="R120">
        <v>157.79400000000001</v>
      </c>
      <c r="S120">
        <f>Table2[[#This Row],[Ship Date]]-Table2[[#This Row],[Order Date]]</f>
        <v>5</v>
      </c>
    </row>
    <row r="121" spans="1:19" x14ac:dyDescent="0.3">
      <c r="A121">
        <v>120</v>
      </c>
      <c r="B121" t="s">
        <v>535</v>
      </c>
      <c r="C121" s="1">
        <v>42898</v>
      </c>
      <c r="D121" s="1">
        <v>42901</v>
      </c>
      <c r="E121" t="s">
        <v>210</v>
      </c>
      <c r="F121" t="s">
        <v>536</v>
      </c>
      <c r="G121" t="s">
        <v>537</v>
      </c>
      <c r="H121" t="s">
        <v>70</v>
      </c>
      <c r="I121" t="s">
        <v>71</v>
      </c>
      <c r="J121" t="s">
        <v>538</v>
      </c>
      <c r="K121" t="s">
        <v>266</v>
      </c>
      <c r="L121">
        <v>19805</v>
      </c>
      <c r="M121" t="s">
        <v>10</v>
      </c>
      <c r="N121" t="s">
        <v>539</v>
      </c>
      <c r="O121" t="s">
        <v>13</v>
      </c>
      <c r="P121" t="s">
        <v>35</v>
      </c>
      <c r="Q121" t="s">
        <v>540</v>
      </c>
      <c r="R121">
        <v>47.04</v>
      </c>
      <c r="S121">
        <f>Table2[[#This Row],[Ship Date]]-Table2[[#This Row],[Order Date]]</f>
        <v>3</v>
      </c>
    </row>
    <row r="122" spans="1:19" x14ac:dyDescent="0.3">
      <c r="A122">
        <v>121</v>
      </c>
      <c r="B122" t="s">
        <v>535</v>
      </c>
      <c r="C122" s="1">
        <v>42898</v>
      </c>
      <c r="D122" s="1">
        <v>42901</v>
      </c>
      <c r="E122" t="s">
        <v>210</v>
      </c>
      <c r="F122" t="s">
        <v>536</v>
      </c>
      <c r="G122" t="s">
        <v>537</v>
      </c>
      <c r="H122" t="s">
        <v>70</v>
      </c>
      <c r="I122" t="s">
        <v>71</v>
      </c>
      <c r="J122" t="s">
        <v>538</v>
      </c>
      <c r="K122" t="s">
        <v>266</v>
      </c>
      <c r="L122">
        <v>19805</v>
      </c>
      <c r="M122" t="s">
        <v>10</v>
      </c>
      <c r="N122" t="s">
        <v>106</v>
      </c>
      <c r="O122" t="s">
        <v>8</v>
      </c>
      <c r="P122" t="s">
        <v>29</v>
      </c>
      <c r="Q122" t="s">
        <v>107</v>
      </c>
      <c r="R122">
        <v>30.84</v>
      </c>
      <c r="S122">
        <f>Table2[[#This Row],[Ship Date]]-Table2[[#This Row],[Order Date]]</f>
        <v>3</v>
      </c>
    </row>
    <row r="123" spans="1:19" x14ac:dyDescent="0.3">
      <c r="A123">
        <v>122</v>
      </c>
      <c r="B123" t="s">
        <v>535</v>
      </c>
      <c r="C123" s="1">
        <v>42898</v>
      </c>
      <c r="D123" s="1">
        <v>42901</v>
      </c>
      <c r="E123" t="s">
        <v>210</v>
      </c>
      <c r="F123" t="s">
        <v>536</v>
      </c>
      <c r="G123" t="s">
        <v>537</v>
      </c>
      <c r="H123" t="s">
        <v>70</v>
      </c>
      <c r="I123" t="s">
        <v>71</v>
      </c>
      <c r="J123" t="s">
        <v>538</v>
      </c>
      <c r="K123" t="s">
        <v>266</v>
      </c>
      <c r="L123">
        <v>19805</v>
      </c>
      <c r="M123" t="s">
        <v>10</v>
      </c>
      <c r="N123" t="s">
        <v>541</v>
      </c>
      <c r="O123" t="s">
        <v>8</v>
      </c>
      <c r="P123" t="s">
        <v>41</v>
      </c>
      <c r="Q123" t="s">
        <v>542</v>
      </c>
      <c r="R123">
        <v>226.56</v>
      </c>
      <c r="S123">
        <f>Table2[[#This Row],[Ship Date]]-Table2[[#This Row],[Order Date]]</f>
        <v>3</v>
      </c>
    </row>
    <row r="124" spans="1:19" x14ac:dyDescent="0.3">
      <c r="A124">
        <v>123</v>
      </c>
      <c r="B124" t="s">
        <v>535</v>
      </c>
      <c r="C124" s="1">
        <v>42898</v>
      </c>
      <c r="D124" s="1">
        <v>42901</v>
      </c>
      <c r="E124" t="s">
        <v>210</v>
      </c>
      <c r="F124" t="s">
        <v>536</v>
      </c>
      <c r="G124" t="s">
        <v>537</v>
      </c>
      <c r="H124" t="s">
        <v>70</v>
      </c>
      <c r="I124" t="s">
        <v>71</v>
      </c>
      <c r="J124" t="s">
        <v>538</v>
      </c>
      <c r="K124" t="s">
        <v>266</v>
      </c>
      <c r="L124">
        <v>19805</v>
      </c>
      <c r="M124" t="s">
        <v>10</v>
      </c>
      <c r="N124" t="s">
        <v>543</v>
      </c>
      <c r="O124" t="s">
        <v>8</v>
      </c>
      <c r="P124" t="s">
        <v>19</v>
      </c>
      <c r="Q124" t="s">
        <v>544</v>
      </c>
      <c r="R124">
        <v>115.02</v>
      </c>
      <c r="S124">
        <f>Table2[[#This Row],[Ship Date]]-Table2[[#This Row],[Order Date]]</f>
        <v>3</v>
      </c>
    </row>
    <row r="125" spans="1:19" x14ac:dyDescent="0.3">
      <c r="A125">
        <v>124</v>
      </c>
      <c r="B125" t="s">
        <v>535</v>
      </c>
      <c r="C125" s="1">
        <v>42898</v>
      </c>
      <c r="D125" s="1">
        <v>42901</v>
      </c>
      <c r="E125" t="s">
        <v>210</v>
      </c>
      <c r="F125" t="s">
        <v>536</v>
      </c>
      <c r="G125" t="s">
        <v>537</v>
      </c>
      <c r="H125" t="s">
        <v>70</v>
      </c>
      <c r="I125" t="s">
        <v>71</v>
      </c>
      <c r="J125" t="s">
        <v>538</v>
      </c>
      <c r="K125" t="s">
        <v>266</v>
      </c>
      <c r="L125">
        <v>19805</v>
      </c>
      <c r="M125" t="s">
        <v>10</v>
      </c>
      <c r="N125" t="s">
        <v>545</v>
      </c>
      <c r="O125" t="s">
        <v>3</v>
      </c>
      <c r="P125" t="s">
        <v>46</v>
      </c>
      <c r="Q125" t="s">
        <v>546</v>
      </c>
      <c r="R125">
        <v>68.040000000000006</v>
      </c>
      <c r="S125">
        <f>Table2[[#This Row],[Ship Date]]-Table2[[#This Row],[Order Date]]</f>
        <v>3</v>
      </c>
    </row>
    <row r="126" spans="1:19" x14ac:dyDescent="0.3">
      <c r="A126">
        <v>125</v>
      </c>
      <c r="B126" t="s">
        <v>547</v>
      </c>
      <c r="C126" s="1">
        <v>42364</v>
      </c>
      <c r="D126" s="1">
        <v>42366</v>
      </c>
      <c r="E126" t="s">
        <v>67</v>
      </c>
      <c r="F126" t="s">
        <v>548</v>
      </c>
      <c r="G126" t="s">
        <v>549</v>
      </c>
      <c r="H126" t="s">
        <v>129</v>
      </c>
      <c r="I126" t="s">
        <v>71</v>
      </c>
      <c r="J126" t="s">
        <v>206</v>
      </c>
      <c r="K126" t="s">
        <v>131</v>
      </c>
      <c r="L126">
        <v>77041</v>
      </c>
      <c r="M126" t="s">
        <v>5</v>
      </c>
      <c r="N126" t="s">
        <v>550</v>
      </c>
      <c r="O126" t="s">
        <v>13</v>
      </c>
      <c r="P126" t="s">
        <v>43</v>
      </c>
      <c r="Q126" t="s">
        <v>551</v>
      </c>
      <c r="R126">
        <v>600.55799999999999</v>
      </c>
      <c r="S126">
        <f>Table2[[#This Row],[Ship Date]]-Table2[[#This Row],[Order Date]]</f>
        <v>2</v>
      </c>
    </row>
    <row r="127" spans="1:19" x14ac:dyDescent="0.3">
      <c r="A127">
        <v>126</v>
      </c>
      <c r="B127" t="s">
        <v>552</v>
      </c>
      <c r="C127" s="1">
        <v>42267</v>
      </c>
      <c r="D127" s="1">
        <v>42272</v>
      </c>
      <c r="E127" t="s">
        <v>88</v>
      </c>
      <c r="F127" t="s">
        <v>553</v>
      </c>
      <c r="G127" t="s">
        <v>554</v>
      </c>
      <c r="H127" t="s">
        <v>70</v>
      </c>
      <c r="I127" t="s">
        <v>71</v>
      </c>
      <c r="J127" t="s">
        <v>555</v>
      </c>
      <c r="K127" t="s">
        <v>232</v>
      </c>
      <c r="L127">
        <v>61701</v>
      </c>
      <c r="M127" t="s">
        <v>5</v>
      </c>
      <c r="N127" t="s">
        <v>556</v>
      </c>
      <c r="O127" t="s">
        <v>13</v>
      </c>
      <c r="P127" t="s">
        <v>45</v>
      </c>
      <c r="Q127" t="s">
        <v>557</v>
      </c>
      <c r="R127">
        <v>617.70000000000005</v>
      </c>
      <c r="S127">
        <f>Table2[[#This Row],[Ship Date]]-Table2[[#This Row],[Order Date]]</f>
        <v>5</v>
      </c>
    </row>
    <row r="128" spans="1:19" x14ac:dyDescent="0.3">
      <c r="A128">
        <v>127</v>
      </c>
      <c r="B128" t="s">
        <v>558</v>
      </c>
      <c r="C128" s="1">
        <v>43409</v>
      </c>
      <c r="D128" s="1">
        <v>43416</v>
      </c>
      <c r="E128" t="s">
        <v>88</v>
      </c>
      <c r="F128" t="s">
        <v>559</v>
      </c>
      <c r="G128" t="s">
        <v>560</v>
      </c>
      <c r="H128" t="s">
        <v>70</v>
      </c>
      <c r="I128" t="s">
        <v>71</v>
      </c>
      <c r="J128" t="s">
        <v>561</v>
      </c>
      <c r="K128" t="s">
        <v>329</v>
      </c>
      <c r="L128">
        <v>85023</v>
      </c>
      <c r="M128" t="s">
        <v>20</v>
      </c>
      <c r="N128" t="s">
        <v>562</v>
      </c>
      <c r="O128" t="s">
        <v>8</v>
      </c>
      <c r="P128" t="s">
        <v>29</v>
      </c>
      <c r="Q128" t="s">
        <v>563</v>
      </c>
      <c r="R128">
        <v>2.3879999999999999</v>
      </c>
      <c r="S128">
        <f>Table2[[#This Row],[Ship Date]]-Table2[[#This Row],[Order Date]]</f>
        <v>7</v>
      </c>
    </row>
    <row r="129" spans="1:19" x14ac:dyDescent="0.3">
      <c r="A129">
        <v>128</v>
      </c>
      <c r="B129" t="s">
        <v>558</v>
      </c>
      <c r="C129" s="1">
        <v>43409</v>
      </c>
      <c r="D129" s="1">
        <v>43416</v>
      </c>
      <c r="E129" t="s">
        <v>88</v>
      </c>
      <c r="F129" t="s">
        <v>559</v>
      </c>
      <c r="G129" t="s">
        <v>560</v>
      </c>
      <c r="H129" t="s">
        <v>70</v>
      </c>
      <c r="I129" t="s">
        <v>71</v>
      </c>
      <c r="J129" t="s">
        <v>561</v>
      </c>
      <c r="K129" t="s">
        <v>329</v>
      </c>
      <c r="L129">
        <v>85023</v>
      </c>
      <c r="M129" t="s">
        <v>20</v>
      </c>
      <c r="N129" t="s">
        <v>564</v>
      </c>
      <c r="O129" t="s">
        <v>8</v>
      </c>
      <c r="P129" t="s">
        <v>41</v>
      </c>
      <c r="Q129" t="s">
        <v>565</v>
      </c>
      <c r="R129">
        <v>243.99199999999999</v>
      </c>
      <c r="S129">
        <f>Table2[[#This Row],[Ship Date]]-Table2[[#This Row],[Order Date]]</f>
        <v>7</v>
      </c>
    </row>
    <row r="130" spans="1:19" x14ac:dyDescent="0.3">
      <c r="A130">
        <v>129</v>
      </c>
      <c r="B130" t="s">
        <v>566</v>
      </c>
      <c r="C130" s="1">
        <v>43045</v>
      </c>
      <c r="D130" s="1">
        <v>43049</v>
      </c>
      <c r="E130" t="s">
        <v>67</v>
      </c>
      <c r="F130" t="s">
        <v>567</v>
      </c>
      <c r="G130" t="s">
        <v>568</v>
      </c>
      <c r="H130" t="s">
        <v>129</v>
      </c>
      <c r="I130" t="s">
        <v>71</v>
      </c>
      <c r="J130" t="s">
        <v>83</v>
      </c>
      <c r="K130" t="s">
        <v>84</v>
      </c>
      <c r="L130">
        <v>90004</v>
      </c>
      <c r="M130" t="s">
        <v>20</v>
      </c>
      <c r="N130" t="s">
        <v>323</v>
      </c>
      <c r="O130" t="s">
        <v>13</v>
      </c>
      <c r="P130" t="s">
        <v>43</v>
      </c>
      <c r="Q130" t="s">
        <v>569</v>
      </c>
      <c r="R130">
        <v>81.424000000000007</v>
      </c>
      <c r="S130">
        <f>Table2[[#This Row],[Ship Date]]-Table2[[#This Row],[Order Date]]</f>
        <v>4</v>
      </c>
    </row>
    <row r="131" spans="1:19" x14ac:dyDescent="0.3">
      <c r="A131">
        <v>130</v>
      </c>
      <c r="B131" t="s">
        <v>566</v>
      </c>
      <c r="C131" s="1">
        <v>43045</v>
      </c>
      <c r="D131" s="1">
        <v>43049</v>
      </c>
      <c r="E131" t="s">
        <v>67</v>
      </c>
      <c r="F131" t="s">
        <v>567</v>
      </c>
      <c r="G131" t="s">
        <v>568</v>
      </c>
      <c r="H131" t="s">
        <v>129</v>
      </c>
      <c r="I131" t="s">
        <v>71</v>
      </c>
      <c r="J131" t="s">
        <v>83</v>
      </c>
      <c r="K131" t="s">
        <v>84</v>
      </c>
      <c r="L131">
        <v>90004</v>
      </c>
      <c r="M131" t="s">
        <v>20</v>
      </c>
      <c r="N131" t="s">
        <v>570</v>
      </c>
      <c r="O131" t="s">
        <v>13</v>
      </c>
      <c r="P131" t="s">
        <v>35</v>
      </c>
      <c r="Q131" t="s">
        <v>571</v>
      </c>
      <c r="R131">
        <v>238.56</v>
      </c>
      <c r="S131">
        <f>Table2[[#This Row],[Ship Date]]-Table2[[#This Row],[Order Date]]</f>
        <v>4</v>
      </c>
    </row>
    <row r="132" spans="1:19" x14ac:dyDescent="0.3">
      <c r="A132">
        <v>131</v>
      </c>
      <c r="B132" t="s">
        <v>572</v>
      </c>
      <c r="C132" s="1">
        <v>43133</v>
      </c>
      <c r="D132" s="1">
        <v>43136</v>
      </c>
      <c r="E132" t="s">
        <v>210</v>
      </c>
      <c r="F132" t="s">
        <v>573</v>
      </c>
      <c r="G132" t="s">
        <v>574</v>
      </c>
      <c r="H132" t="s">
        <v>82</v>
      </c>
      <c r="I132" t="s">
        <v>71</v>
      </c>
      <c r="J132" t="s">
        <v>514</v>
      </c>
      <c r="K132" t="s">
        <v>515</v>
      </c>
      <c r="L132">
        <v>43229</v>
      </c>
      <c r="M132" t="s">
        <v>10</v>
      </c>
      <c r="N132" t="s">
        <v>575</v>
      </c>
      <c r="O132" t="s">
        <v>3</v>
      </c>
      <c r="P132" t="s">
        <v>46</v>
      </c>
      <c r="Q132" t="s">
        <v>576</v>
      </c>
      <c r="R132">
        <v>59.97</v>
      </c>
      <c r="S132">
        <f>Table2[[#This Row],[Ship Date]]-Table2[[#This Row],[Order Date]]</f>
        <v>3</v>
      </c>
    </row>
    <row r="133" spans="1:19" x14ac:dyDescent="0.3">
      <c r="A133">
        <v>132</v>
      </c>
      <c r="B133" t="s">
        <v>572</v>
      </c>
      <c r="C133" s="1">
        <v>43133</v>
      </c>
      <c r="D133" s="1">
        <v>43136</v>
      </c>
      <c r="E133" t="s">
        <v>210</v>
      </c>
      <c r="F133" t="s">
        <v>573</v>
      </c>
      <c r="G133" t="s">
        <v>574</v>
      </c>
      <c r="H133" t="s">
        <v>82</v>
      </c>
      <c r="I133" t="s">
        <v>71</v>
      </c>
      <c r="J133" t="s">
        <v>514</v>
      </c>
      <c r="K133" t="s">
        <v>515</v>
      </c>
      <c r="L133">
        <v>43229</v>
      </c>
      <c r="M133" t="s">
        <v>10</v>
      </c>
      <c r="N133" t="s">
        <v>577</v>
      </c>
      <c r="O133" t="s">
        <v>8</v>
      </c>
      <c r="P133" t="s">
        <v>23</v>
      </c>
      <c r="Q133" t="s">
        <v>578</v>
      </c>
      <c r="R133">
        <v>78.304000000000002</v>
      </c>
      <c r="S133">
        <f>Table2[[#This Row],[Ship Date]]-Table2[[#This Row],[Order Date]]</f>
        <v>3</v>
      </c>
    </row>
    <row r="134" spans="1:19" x14ac:dyDescent="0.3">
      <c r="A134">
        <v>133</v>
      </c>
      <c r="B134" t="s">
        <v>572</v>
      </c>
      <c r="C134" s="1">
        <v>43133</v>
      </c>
      <c r="D134" s="1">
        <v>43136</v>
      </c>
      <c r="E134" t="s">
        <v>210</v>
      </c>
      <c r="F134" t="s">
        <v>573</v>
      </c>
      <c r="G134" t="s">
        <v>574</v>
      </c>
      <c r="H134" t="s">
        <v>82</v>
      </c>
      <c r="I134" t="s">
        <v>71</v>
      </c>
      <c r="J134" t="s">
        <v>514</v>
      </c>
      <c r="K134" t="s">
        <v>515</v>
      </c>
      <c r="L134">
        <v>43229</v>
      </c>
      <c r="M134" t="s">
        <v>10</v>
      </c>
      <c r="N134" t="s">
        <v>579</v>
      </c>
      <c r="O134" t="s">
        <v>8</v>
      </c>
      <c r="P134" t="s">
        <v>9</v>
      </c>
      <c r="Q134" t="s">
        <v>580</v>
      </c>
      <c r="R134">
        <v>21.456</v>
      </c>
      <c r="S134">
        <f>Table2[[#This Row],[Ship Date]]-Table2[[#This Row],[Order Date]]</f>
        <v>3</v>
      </c>
    </row>
    <row r="135" spans="1:19" x14ac:dyDescent="0.3">
      <c r="A135">
        <v>134</v>
      </c>
      <c r="B135" t="s">
        <v>581</v>
      </c>
      <c r="C135" s="1">
        <v>43021</v>
      </c>
      <c r="D135" s="1">
        <v>43027</v>
      </c>
      <c r="E135" t="s">
        <v>88</v>
      </c>
      <c r="F135" t="s">
        <v>582</v>
      </c>
      <c r="G135" t="s">
        <v>583</v>
      </c>
      <c r="H135" t="s">
        <v>70</v>
      </c>
      <c r="I135" t="s">
        <v>71</v>
      </c>
      <c r="J135" t="s">
        <v>584</v>
      </c>
      <c r="K135" t="s">
        <v>84</v>
      </c>
      <c r="L135">
        <v>95661</v>
      </c>
      <c r="M135" t="s">
        <v>20</v>
      </c>
      <c r="N135" t="s">
        <v>585</v>
      </c>
      <c r="O135" t="s">
        <v>8</v>
      </c>
      <c r="P135" t="s">
        <v>23</v>
      </c>
      <c r="Q135" t="s">
        <v>586</v>
      </c>
      <c r="R135">
        <v>20.04</v>
      </c>
      <c r="S135">
        <f>Table2[[#This Row],[Ship Date]]-Table2[[#This Row],[Order Date]]</f>
        <v>6</v>
      </c>
    </row>
    <row r="136" spans="1:19" x14ac:dyDescent="0.3">
      <c r="A136">
        <v>135</v>
      </c>
      <c r="B136" t="s">
        <v>581</v>
      </c>
      <c r="C136" s="1">
        <v>43021</v>
      </c>
      <c r="D136" s="1">
        <v>43027</v>
      </c>
      <c r="E136" t="s">
        <v>88</v>
      </c>
      <c r="F136" t="s">
        <v>582</v>
      </c>
      <c r="G136" t="s">
        <v>583</v>
      </c>
      <c r="H136" t="s">
        <v>70</v>
      </c>
      <c r="I136" t="s">
        <v>71</v>
      </c>
      <c r="J136" t="s">
        <v>584</v>
      </c>
      <c r="K136" t="s">
        <v>84</v>
      </c>
      <c r="L136">
        <v>95661</v>
      </c>
      <c r="M136" t="s">
        <v>20</v>
      </c>
      <c r="N136" t="s">
        <v>587</v>
      </c>
      <c r="O136" t="s">
        <v>8</v>
      </c>
      <c r="P136" t="s">
        <v>23</v>
      </c>
      <c r="Q136" t="s">
        <v>588</v>
      </c>
      <c r="R136">
        <v>35.44</v>
      </c>
      <c r="S136">
        <f>Table2[[#This Row],[Ship Date]]-Table2[[#This Row],[Order Date]]</f>
        <v>6</v>
      </c>
    </row>
    <row r="137" spans="1:19" x14ac:dyDescent="0.3">
      <c r="A137">
        <v>136</v>
      </c>
      <c r="B137" t="s">
        <v>581</v>
      </c>
      <c r="C137" s="1">
        <v>43021</v>
      </c>
      <c r="D137" s="1">
        <v>43027</v>
      </c>
      <c r="E137" t="s">
        <v>88</v>
      </c>
      <c r="F137" t="s">
        <v>582</v>
      </c>
      <c r="G137" t="s">
        <v>583</v>
      </c>
      <c r="H137" t="s">
        <v>70</v>
      </c>
      <c r="I137" t="s">
        <v>71</v>
      </c>
      <c r="J137" t="s">
        <v>584</v>
      </c>
      <c r="K137" t="s">
        <v>84</v>
      </c>
      <c r="L137">
        <v>95661</v>
      </c>
      <c r="M137" t="s">
        <v>20</v>
      </c>
      <c r="N137" t="s">
        <v>589</v>
      </c>
      <c r="O137" t="s">
        <v>8</v>
      </c>
      <c r="P137" t="s">
        <v>38</v>
      </c>
      <c r="Q137" t="s">
        <v>590</v>
      </c>
      <c r="R137">
        <v>11.52</v>
      </c>
      <c r="S137">
        <f>Table2[[#This Row],[Ship Date]]-Table2[[#This Row],[Order Date]]</f>
        <v>6</v>
      </c>
    </row>
    <row r="138" spans="1:19" x14ac:dyDescent="0.3">
      <c r="A138">
        <v>137</v>
      </c>
      <c r="B138" t="s">
        <v>581</v>
      </c>
      <c r="C138" s="1">
        <v>43021</v>
      </c>
      <c r="D138" s="1">
        <v>43027</v>
      </c>
      <c r="E138" t="s">
        <v>88</v>
      </c>
      <c r="F138" t="s">
        <v>582</v>
      </c>
      <c r="G138" t="s">
        <v>583</v>
      </c>
      <c r="H138" t="s">
        <v>70</v>
      </c>
      <c r="I138" t="s">
        <v>71</v>
      </c>
      <c r="J138" t="s">
        <v>584</v>
      </c>
      <c r="K138" t="s">
        <v>84</v>
      </c>
      <c r="L138">
        <v>95661</v>
      </c>
      <c r="M138" t="s">
        <v>20</v>
      </c>
      <c r="N138" t="s">
        <v>591</v>
      </c>
      <c r="O138" t="s">
        <v>8</v>
      </c>
      <c r="P138" t="s">
        <v>9</v>
      </c>
      <c r="Q138" t="s">
        <v>592</v>
      </c>
      <c r="R138">
        <v>4.0199999999999996</v>
      </c>
      <c r="S138">
        <f>Table2[[#This Row],[Ship Date]]-Table2[[#This Row],[Order Date]]</f>
        <v>6</v>
      </c>
    </row>
    <row r="139" spans="1:19" x14ac:dyDescent="0.3">
      <c r="A139">
        <v>138</v>
      </c>
      <c r="B139" t="s">
        <v>581</v>
      </c>
      <c r="C139" s="1">
        <v>43021</v>
      </c>
      <c r="D139" s="1">
        <v>43027</v>
      </c>
      <c r="E139" t="s">
        <v>88</v>
      </c>
      <c r="F139" t="s">
        <v>582</v>
      </c>
      <c r="G139" t="s">
        <v>583</v>
      </c>
      <c r="H139" t="s">
        <v>70</v>
      </c>
      <c r="I139" t="s">
        <v>71</v>
      </c>
      <c r="J139" t="s">
        <v>584</v>
      </c>
      <c r="K139" t="s">
        <v>84</v>
      </c>
      <c r="L139">
        <v>95661</v>
      </c>
      <c r="M139" t="s">
        <v>20</v>
      </c>
      <c r="N139" t="s">
        <v>593</v>
      </c>
      <c r="O139" t="s">
        <v>8</v>
      </c>
      <c r="P139" t="s">
        <v>29</v>
      </c>
      <c r="Q139" t="s">
        <v>594</v>
      </c>
      <c r="R139">
        <v>76.176000000000002</v>
      </c>
      <c r="S139">
        <f>Table2[[#This Row],[Ship Date]]-Table2[[#This Row],[Order Date]]</f>
        <v>6</v>
      </c>
    </row>
    <row r="140" spans="1:19" x14ac:dyDescent="0.3">
      <c r="A140">
        <v>139</v>
      </c>
      <c r="B140" t="s">
        <v>581</v>
      </c>
      <c r="C140" s="1">
        <v>43021</v>
      </c>
      <c r="D140" s="1">
        <v>43027</v>
      </c>
      <c r="E140" t="s">
        <v>88</v>
      </c>
      <c r="F140" t="s">
        <v>582</v>
      </c>
      <c r="G140" t="s">
        <v>583</v>
      </c>
      <c r="H140" t="s">
        <v>70</v>
      </c>
      <c r="I140" t="s">
        <v>71</v>
      </c>
      <c r="J140" t="s">
        <v>584</v>
      </c>
      <c r="K140" t="s">
        <v>84</v>
      </c>
      <c r="L140">
        <v>95661</v>
      </c>
      <c r="M140" t="s">
        <v>20</v>
      </c>
      <c r="N140" t="s">
        <v>595</v>
      </c>
      <c r="O140" t="s">
        <v>8</v>
      </c>
      <c r="P140" t="s">
        <v>4</v>
      </c>
      <c r="Q140" t="s">
        <v>596</v>
      </c>
      <c r="R140">
        <v>65.88</v>
      </c>
      <c r="S140">
        <f>Table2[[#This Row],[Ship Date]]-Table2[[#This Row],[Order Date]]</f>
        <v>6</v>
      </c>
    </row>
    <row r="141" spans="1:19" x14ac:dyDescent="0.3">
      <c r="A141">
        <v>140</v>
      </c>
      <c r="B141" t="s">
        <v>581</v>
      </c>
      <c r="C141" s="1">
        <v>43021</v>
      </c>
      <c r="D141" s="1">
        <v>43027</v>
      </c>
      <c r="E141" t="s">
        <v>88</v>
      </c>
      <c r="F141" t="s">
        <v>582</v>
      </c>
      <c r="G141" t="s">
        <v>583</v>
      </c>
      <c r="H141" t="s">
        <v>70</v>
      </c>
      <c r="I141" t="s">
        <v>71</v>
      </c>
      <c r="J141" t="s">
        <v>584</v>
      </c>
      <c r="K141" t="s">
        <v>84</v>
      </c>
      <c r="L141">
        <v>95661</v>
      </c>
      <c r="M141" t="s">
        <v>20</v>
      </c>
      <c r="N141" t="s">
        <v>280</v>
      </c>
      <c r="O141" t="s">
        <v>13</v>
      </c>
      <c r="P141" t="s">
        <v>35</v>
      </c>
      <c r="Q141" t="s">
        <v>281</v>
      </c>
      <c r="R141">
        <v>43.12</v>
      </c>
      <c r="S141">
        <f>Table2[[#This Row],[Ship Date]]-Table2[[#This Row],[Order Date]]</f>
        <v>6</v>
      </c>
    </row>
    <row r="142" spans="1:19" x14ac:dyDescent="0.3">
      <c r="A142">
        <v>141</v>
      </c>
      <c r="B142" t="s">
        <v>597</v>
      </c>
      <c r="C142" s="1">
        <v>42983</v>
      </c>
      <c r="D142" s="1">
        <v>42985</v>
      </c>
      <c r="E142" t="s">
        <v>67</v>
      </c>
      <c r="F142" t="s">
        <v>598</v>
      </c>
      <c r="G142" t="s">
        <v>599</v>
      </c>
      <c r="H142" t="s">
        <v>82</v>
      </c>
      <c r="I142" t="s">
        <v>71</v>
      </c>
      <c r="J142" t="s">
        <v>172</v>
      </c>
      <c r="K142" t="s">
        <v>173</v>
      </c>
      <c r="L142">
        <v>19140</v>
      </c>
      <c r="M142" t="s">
        <v>10</v>
      </c>
      <c r="N142" t="s">
        <v>193</v>
      </c>
      <c r="O142" t="s">
        <v>13</v>
      </c>
      <c r="P142" t="s">
        <v>35</v>
      </c>
      <c r="Q142" t="s">
        <v>194</v>
      </c>
      <c r="R142">
        <v>82.8</v>
      </c>
      <c r="S142">
        <f>Table2[[#This Row],[Ship Date]]-Table2[[#This Row],[Order Date]]</f>
        <v>2</v>
      </c>
    </row>
    <row r="143" spans="1:19" x14ac:dyDescent="0.3">
      <c r="A143">
        <v>142</v>
      </c>
      <c r="B143" t="s">
        <v>600</v>
      </c>
      <c r="C143" s="1">
        <v>43361</v>
      </c>
      <c r="D143" s="1">
        <v>43366</v>
      </c>
      <c r="E143" t="s">
        <v>88</v>
      </c>
      <c r="F143" t="s">
        <v>601</v>
      </c>
      <c r="G143" t="s">
        <v>602</v>
      </c>
      <c r="H143" t="s">
        <v>82</v>
      </c>
      <c r="I143" t="s">
        <v>71</v>
      </c>
      <c r="J143" t="s">
        <v>153</v>
      </c>
      <c r="K143" t="s">
        <v>84</v>
      </c>
      <c r="L143">
        <v>94122</v>
      </c>
      <c r="M143" t="s">
        <v>20</v>
      </c>
      <c r="N143" t="s">
        <v>603</v>
      </c>
      <c r="O143" t="s">
        <v>8</v>
      </c>
      <c r="P143" t="s">
        <v>38</v>
      </c>
      <c r="Q143" t="s">
        <v>604</v>
      </c>
      <c r="R143">
        <v>8.82</v>
      </c>
      <c r="S143">
        <f>Table2[[#This Row],[Ship Date]]-Table2[[#This Row],[Order Date]]</f>
        <v>5</v>
      </c>
    </row>
    <row r="144" spans="1:19" x14ac:dyDescent="0.3">
      <c r="A144">
        <v>143</v>
      </c>
      <c r="B144" t="s">
        <v>600</v>
      </c>
      <c r="C144" s="1">
        <v>43361</v>
      </c>
      <c r="D144" s="1">
        <v>43366</v>
      </c>
      <c r="E144" t="s">
        <v>88</v>
      </c>
      <c r="F144" t="s">
        <v>601</v>
      </c>
      <c r="G144" t="s">
        <v>602</v>
      </c>
      <c r="H144" t="s">
        <v>82</v>
      </c>
      <c r="I144" t="s">
        <v>71</v>
      </c>
      <c r="J144" t="s">
        <v>153</v>
      </c>
      <c r="K144" t="s">
        <v>84</v>
      </c>
      <c r="L144">
        <v>94122</v>
      </c>
      <c r="M144" t="s">
        <v>20</v>
      </c>
      <c r="N144" t="s">
        <v>605</v>
      </c>
      <c r="O144" t="s">
        <v>8</v>
      </c>
      <c r="P144" t="s">
        <v>19</v>
      </c>
      <c r="Q144" t="s">
        <v>606</v>
      </c>
      <c r="R144">
        <v>10.86</v>
      </c>
      <c r="S144">
        <f>Table2[[#This Row],[Ship Date]]-Table2[[#This Row],[Order Date]]</f>
        <v>5</v>
      </c>
    </row>
    <row r="145" spans="1:19" x14ac:dyDescent="0.3">
      <c r="A145">
        <v>144</v>
      </c>
      <c r="B145" t="s">
        <v>600</v>
      </c>
      <c r="C145" s="1">
        <v>43361</v>
      </c>
      <c r="D145" s="1">
        <v>43366</v>
      </c>
      <c r="E145" t="s">
        <v>88</v>
      </c>
      <c r="F145" t="s">
        <v>601</v>
      </c>
      <c r="G145" t="s">
        <v>602</v>
      </c>
      <c r="H145" t="s">
        <v>82</v>
      </c>
      <c r="I145" t="s">
        <v>71</v>
      </c>
      <c r="J145" t="s">
        <v>153</v>
      </c>
      <c r="K145" t="s">
        <v>84</v>
      </c>
      <c r="L145">
        <v>94122</v>
      </c>
      <c r="M145" t="s">
        <v>20</v>
      </c>
      <c r="N145" t="s">
        <v>607</v>
      </c>
      <c r="O145" t="s">
        <v>8</v>
      </c>
      <c r="P145" t="s">
        <v>23</v>
      </c>
      <c r="Q145" t="s">
        <v>608</v>
      </c>
      <c r="R145">
        <v>143.69999999999999</v>
      </c>
      <c r="S145">
        <f>Table2[[#This Row],[Ship Date]]-Table2[[#This Row],[Order Date]]</f>
        <v>5</v>
      </c>
    </row>
    <row r="146" spans="1:19" x14ac:dyDescent="0.3">
      <c r="A146">
        <v>145</v>
      </c>
      <c r="B146" t="s">
        <v>609</v>
      </c>
      <c r="C146" s="1">
        <v>43456</v>
      </c>
      <c r="D146" s="1">
        <v>43461</v>
      </c>
      <c r="E146" t="s">
        <v>88</v>
      </c>
      <c r="F146" t="s">
        <v>610</v>
      </c>
      <c r="G146" t="s">
        <v>611</v>
      </c>
      <c r="H146" t="s">
        <v>70</v>
      </c>
      <c r="I146" t="s">
        <v>71</v>
      </c>
      <c r="J146" t="s">
        <v>612</v>
      </c>
      <c r="K146" t="s">
        <v>613</v>
      </c>
      <c r="L146">
        <v>64055</v>
      </c>
      <c r="M146" t="s">
        <v>5</v>
      </c>
      <c r="N146" t="s">
        <v>614</v>
      </c>
      <c r="O146" t="s">
        <v>8</v>
      </c>
      <c r="P146" t="s">
        <v>32</v>
      </c>
      <c r="Q146" t="s">
        <v>39</v>
      </c>
      <c r="R146">
        <v>839.43</v>
      </c>
      <c r="S146">
        <f>Table2[[#This Row],[Ship Date]]-Table2[[#This Row],[Order Date]]</f>
        <v>5</v>
      </c>
    </row>
    <row r="147" spans="1:19" x14ac:dyDescent="0.3">
      <c r="A147">
        <v>146</v>
      </c>
      <c r="B147" t="s">
        <v>615</v>
      </c>
      <c r="C147" s="1">
        <v>42620</v>
      </c>
      <c r="D147" s="1">
        <v>42625</v>
      </c>
      <c r="E147" t="s">
        <v>88</v>
      </c>
      <c r="F147" t="s">
        <v>616</v>
      </c>
      <c r="G147" t="s">
        <v>617</v>
      </c>
      <c r="H147" t="s">
        <v>70</v>
      </c>
      <c r="I147" t="s">
        <v>71</v>
      </c>
      <c r="J147" t="s">
        <v>618</v>
      </c>
      <c r="K147" t="s">
        <v>84</v>
      </c>
      <c r="L147">
        <v>91104</v>
      </c>
      <c r="M147" t="s">
        <v>20</v>
      </c>
      <c r="N147" t="s">
        <v>397</v>
      </c>
      <c r="O147" t="s">
        <v>8</v>
      </c>
      <c r="P147" t="s">
        <v>41</v>
      </c>
      <c r="Q147" t="s">
        <v>36</v>
      </c>
      <c r="R147">
        <v>671.93</v>
      </c>
      <c r="S147">
        <f>Table2[[#This Row],[Ship Date]]-Table2[[#This Row],[Order Date]]</f>
        <v>5</v>
      </c>
    </row>
    <row r="148" spans="1:19" x14ac:dyDescent="0.3">
      <c r="A148">
        <v>147</v>
      </c>
      <c r="B148" t="s">
        <v>619</v>
      </c>
      <c r="C148" s="1">
        <v>42299</v>
      </c>
      <c r="D148" s="1">
        <v>42305</v>
      </c>
      <c r="E148" t="s">
        <v>88</v>
      </c>
      <c r="F148" t="s">
        <v>620</v>
      </c>
      <c r="G148" t="s">
        <v>621</v>
      </c>
      <c r="H148" t="s">
        <v>129</v>
      </c>
      <c r="I148" t="s">
        <v>71</v>
      </c>
      <c r="J148" t="s">
        <v>622</v>
      </c>
      <c r="K148" t="s">
        <v>515</v>
      </c>
      <c r="L148">
        <v>43055</v>
      </c>
      <c r="M148" t="s">
        <v>10</v>
      </c>
      <c r="N148" t="s">
        <v>623</v>
      </c>
      <c r="O148" t="s">
        <v>13</v>
      </c>
      <c r="P148" t="s">
        <v>35</v>
      </c>
      <c r="Q148" t="s">
        <v>624</v>
      </c>
      <c r="R148">
        <v>93.888000000000005</v>
      </c>
      <c r="S148">
        <f>Table2[[#This Row],[Ship Date]]-Table2[[#This Row],[Order Date]]</f>
        <v>6</v>
      </c>
    </row>
    <row r="149" spans="1:19" x14ac:dyDescent="0.3">
      <c r="A149">
        <v>148</v>
      </c>
      <c r="B149" t="s">
        <v>625</v>
      </c>
      <c r="C149" s="1">
        <v>43074</v>
      </c>
      <c r="D149" s="1">
        <v>43078</v>
      </c>
      <c r="E149" t="s">
        <v>88</v>
      </c>
      <c r="F149" t="s">
        <v>626</v>
      </c>
      <c r="G149" t="s">
        <v>627</v>
      </c>
      <c r="H149" t="s">
        <v>82</v>
      </c>
      <c r="I149" t="s">
        <v>71</v>
      </c>
      <c r="J149" t="s">
        <v>628</v>
      </c>
      <c r="K149" t="s">
        <v>140</v>
      </c>
      <c r="L149">
        <v>53132</v>
      </c>
      <c r="M149" t="s">
        <v>5</v>
      </c>
      <c r="N149" t="s">
        <v>629</v>
      </c>
      <c r="O149" t="s">
        <v>3</v>
      </c>
      <c r="P149" t="s">
        <v>46</v>
      </c>
      <c r="Q149" t="s">
        <v>630</v>
      </c>
      <c r="R149">
        <v>384.45</v>
      </c>
      <c r="S149">
        <f>Table2[[#This Row],[Ship Date]]-Table2[[#This Row],[Order Date]]</f>
        <v>4</v>
      </c>
    </row>
    <row r="150" spans="1:19" x14ac:dyDescent="0.3">
      <c r="A150">
        <v>149</v>
      </c>
      <c r="B150" t="s">
        <v>625</v>
      </c>
      <c r="C150" s="1">
        <v>43074</v>
      </c>
      <c r="D150" s="1">
        <v>43078</v>
      </c>
      <c r="E150" t="s">
        <v>88</v>
      </c>
      <c r="F150" t="s">
        <v>626</v>
      </c>
      <c r="G150" t="s">
        <v>627</v>
      </c>
      <c r="H150" t="s">
        <v>82</v>
      </c>
      <c r="I150" t="s">
        <v>71</v>
      </c>
      <c r="J150" t="s">
        <v>628</v>
      </c>
      <c r="K150" t="s">
        <v>140</v>
      </c>
      <c r="L150">
        <v>53132</v>
      </c>
      <c r="M150" t="s">
        <v>5</v>
      </c>
      <c r="N150" t="s">
        <v>631</v>
      </c>
      <c r="O150" t="s">
        <v>3</v>
      </c>
      <c r="P150" t="s">
        <v>46</v>
      </c>
      <c r="Q150" t="s">
        <v>632</v>
      </c>
      <c r="R150">
        <v>149.97</v>
      </c>
      <c r="S150">
        <f>Table2[[#This Row],[Ship Date]]-Table2[[#This Row],[Order Date]]</f>
        <v>4</v>
      </c>
    </row>
  </sheetData>
  <pageMargins left="0.7" right="0.7" top="0.75" bottom="0.75" header="0.3" footer="0.3"/>
  <pageSetup paperSize="9" orientation="portrait" horizontalDpi="4294967292" verticalDpi="12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4B56A-9AD0-4BE1-B8E3-6A1ECC778F10}">
  <dimension ref="A3:N19"/>
  <sheetViews>
    <sheetView zoomScale="83" workbookViewId="0">
      <selection activeCell="A4" sqref="A4"/>
    </sheetView>
  </sheetViews>
  <sheetFormatPr defaultRowHeight="14.4" x14ac:dyDescent="0.3"/>
  <cols>
    <col min="1" max="1" width="12.77734375" bestFit="1" customWidth="1"/>
    <col min="2" max="2" width="11.6640625" bestFit="1" customWidth="1"/>
    <col min="3" max="3" width="7" bestFit="1" customWidth="1"/>
    <col min="4" max="4" width="13.109375" bestFit="1" customWidth="1"/>
    <col min="5" max="6" width="11.6640625" bestFit="1" customWidth="1"/>
    <col min="7" max="7" width="12.5546875" bestFit="1" customWidth="1"/>
    <col min="8" max="9" width="11.6640625" bestFit="1" customWidth="1"/>
    <col min="10" max="10" width="12.5546875" bestFit="1" customWidth="1"/>
    <col min="11" max="12" width="11.6640625" bestFit="1" customWidth="1"/>
    <col min="13" max="13" width="60.33203125" bestFit="1" customWidth="1"/>
    <col min="14" max="15" width="11.6640625" bestFit="1" customWidth="1"/>
  </cols>
  <sheetData>
    <row r="3" spans="1:14" x14ac:dyDescent="0.3">
      <c r="A3" s="2" t="s">
        <v>0</v>
      </c>
      <c r="B3" t="s">
        <v>1</v>
      </c>
      <c r="D3" s="2" t="s">
        <v>0</v>
      </c>
      <c r="E3" t="s">
        <v>1</v>
      </c>
      <c r="G3" s="2" t="s">
        <v>0</v>
      </c>
      <c r="H3" t="s">
        <v>1</v>
      </c>
      <c r="J3" s="2" t="s">
        <v>0</v>
      </c>
      <c r="K3" t="s">
        <v>1</v>
      </c>
      <c r="M3" s="2" t="s">
        <v>0</v>
      </c>
      <c r="N3" t="s">
        <v>1</v>
      </c>
    </row>
    <row r="4" spans="1:14" x14ac:dyDescent="0.3">
      <c r="A4" s="3" t="s">
        <v>12</v>
      </c>
      <c r="B4" s="7">
        <v>201.47800000000001</v>
      </c>
      <c r="D4" s="3" t="s">
        <v>3</v>
      </c>
      <c r="E4">
        <v>6626.1239999999998</v>
      </c>
      <c r="G4" s="3" t="s">
        <v>4</v>
      </c>
      <c r="H4">
        <v>65.88</v>
      </c>
      <c r="J4" s="3" t="s">
        <v>5</v>
      </c>
      <c r="K4">
        <v>8099.3121999999985</v>
      </c>
      <c r="M4" s="3" t="s">
        <v>6</v>
      </c>
      <c r="N4">
        <v>1029.95</v>
      </c>
    </row>
    <row r="5" spans="1:14" x14ac:dyDescent="0.3">
      <c r="A5" s="3" t="s">
        <v>7</v>
      </c>
      <c r="B5" s="7">
        <v>159.72999999999999</v>
      </c>
      <c r="D5" s="3" t="s">
        <v>8</v>
      </c>
      <c r="E5">
        <v>8366.5139999999992</v>
      </c>
      <c r="G5" s="3" t="s">
        <v>9</v>
      </c>
      <c r="H5">
        <v>80.831999999999994</v>
      </c>
      <c r="J5" s="3" t="s">
        <v>10</v>
      </c>
      <c r="K5">
        <v>6334.1860000000015</v>
      </c>
      <c r="M5" s="3" t="s">
        <v>11</v>
      </c>
      <c r="N5">
        <v>2002.2075</v>
      </c>
    </row>
    <row r="6" spans="1:14" x14ac:dyDescent="0.3">
      <c r="A6" s="3" t="s">
        <v>25</v>
      </c>
      <c r="B6" s="7">
        <v>850.97</v>
      </c>
      <c r="D6" s="3" t="s">
        <v>13</v>
      </c>
      <c r="E6">
        <v>13820.719700000001</v>
      </c>
      <c r="G6" s="3" t="s">
        <v>14</v>
      </c>
      <c r="H6">
        <v>95.960000000000008</v>
      </c>
      <c r="J6" s="3" t="s">
        <v>15</v>
      </c>
      <c r="K6">
        <v>4153.6995000000006</v>
      </c>
      <c r="M6" s="3" t="s">
        <v>16</v>
      </c>
      <c r="N6">
        <v>1706.184</v>
      </c>
    </row>
    <row r="7" spans="1:14" x14ac:dyDescent="0.3">
      <c r="A7" s="3" t="s">
        <v>28</v>
      </c>
      <c r="B7" s="7">
        <v>1756.1390000000001</v>
      </c>
      <c r="D7" s="3" t="s">
        <v>18</v>
      </c>
      <c r="E7">
        <v>28813.3577</v>
      </c>
      <c r="G7" s="3" t="s">
        <v>19</v>
      </c>
      <c r="H7">
        <v>578.6400000000001</v>
      </c>
      <c r="J7" s="3" t="s">
        <v>20</v>
      </c>
      <c r="K7">
        <v>10226.160000000002</v>
      </c>
      <c r="M7" s="3" t="s">
        <v>21</v>
      </c>
      <c r="N7">
        <v>1097.5440000000001</v>
      </c>
    </row>
    <row r="8" spans="1:14" x14ac:dyDescent="0.3">
      <c r="A8" s="3" t="s">
        <v>17</v>
      </c>
      <c r="B8" s="7">
        <v>357.46</v>
      </c>
      <c r="G8" s="3" t="s">
        <v>23</v>
      </c>
      <c r="H8">
        <v>743.08799999999997</v>
      </c>
      <c r="J8" s="3" t="s">
        <v>18</v>
      </c>
      <c r="K8">
        <v>28813.3577</v>
      </c>
      <c r="M8" s="3" t="s">
        <v>24</v>
      </c>
      <c r="N8">
        <v>1113.0239999999999</v>
      </c>
    </row>
    <row r="9" spans="1:14" x14ac:dyDescent="0.3">
      <c r="A9" s="3" t="s">
        <v>37</v>
      </c>
      <c r="B9" s="7">
        <v>5290.4060000000009</v>
      </c>
      <c r="G9" s="3" t="s">
        <v>26</v>
      </c>
      <c r="H9">
        <v>994.46399999999994</v>
      </c>
      <c r="M9" s="3" t="s">
        <v>27</v>
      </c>
      <c r="N9">
        <v>911.42399999999998</v>
      </c>
    </row>
    <row r="10" spans="1:14" x14ac:dyDescent="0.3">
      <c r="A10" s="3" t="s">
        <v>2</v>
      </c>
      <c r="B10" s="7">
        <v>149.25200000000001</v>
      </c>
      <c r="G10" s="3" t="s">
        <v>29</v>
      </c>
      <c r="H10">
        <v>1055.518</v>
      </c>
      <c r="M10" s="3" t="s">
        <v>30</v>
      </c>
      <c r="N10">
        <v>907.15200000000004</v>
      </c>
    </row>
    <row r="11" spans="1:14" x14ac:dyDescent="0.3">
      <c r="A11" s="3" t="s">
        <v>22</v>
      </c>
      <c r="B11" s="7">
        <v>606.404</v>
      </c>
      <c r="G11" s="3" t="s">
        <v>32</v>
      </c>
      <c r="H11">
        <v>1369.52</v>
      </c>
      <c r="M11" s="3" t="s">
        <v>33</v>
      </c>
      <c r="N11">
        <v>3083.43</v>
      </c>
    </row>
    <row r="12" spans="1:14" x14ac:dyDescent="0.3">
      <c r="A12" s="3" t="s">
        <v>40</v>
      </c>
      <c r="B12" s="7">
        <v>6555.3519999999999</v>
      </c>
      <c r="G12" s="3" t="s">
        <v>35</v>
      </c>
      <c r="H12">
        <v>1375.5459999999998</v>
      </c>
      <c r="M12" s="3" t="s">
        <v>36</v>
      </c>
      <c r="N12">
        <v>902.30599999999993</v>
      </c>
    </row>
    <row r="13" spans="1:14" x14ac:dyDescent="0.3">
      <c r="A13" s="3" t="s">
        <v>31</v>
      </c>
      <c r="B13" s="7">
        <v>1973.8615</v>
      </c>
      <c r="G13" s="3" t="s">
        <v>38</v>
      </c>
      <c r="H13">
        <v>1386.672</v>
      </c>
      <c r="M13" s="3" t="s">
        <v>39</v>
      </c>
      <c r="N13">
        <v>839.43</v>
      </c>
    </row>
    <row r="14" spans="1:14" x14ac:dyDescent="0.3">
      <c r="A14" s="3" t="s">
        <v>34</v>
      </c>
      <c r="B14" s="7">
        <v>3502.4260000000008</v>
      </c>
      <c r="G14" s="3" t="s">
        <v>41</v>
      </c>
      <c r="H14">
        <v>2990.404</v>
      </c>
      <c r="M14" s="3" t="s">
        <v>18</v>
      </c>
      <c r="N14">
        <v>13592.6515</v>
      </c>
    </row>
    <row r="15" spans="1:14" x14ac:dyDescent="0.3">
      <c r="A15" s="3" t="s">
        <v>42</v>
      </c>
      <c r="B15" s="7">
        <v>7409.8791999999994</v>
      </c>
      <c r="G15" s="3" t="s">
        <v>43</v>
      </c>
      <c r="H15">
        <v>3453.7629999999999</v>
      </c>
    </row>
    <row r="16" spans="1:14" x14ac:dyDescent="0.3">
      <c r="A16" s="3" t="s">
        <v>18</v>
      </c>
      <c r="B16" s="7">
        <v>28813.3577</v>
      </c>
      <c r="G16" s="3" t="s">
        <v>44</v>
      </c>
      <c r="H16">
        <v>3877.7891999999997</v>
      </c>
    </row>
    <row r="17" spans="7:8" x14ac:dyDescent="0.3">
      <c r="G17" s="3" t="s">
        <v>45</v>
      </c>
      <c r="H17">
        <v>5113.6215000000002</v>
      </c>
    </row>
    <row r="18" spans="7:8" x14ac:dyDescent="0.3">
      <c r="G18" s="3" t="s">
        <v>46</v>
      </c>
      <c r="H18">
        <v>5631.6600000000008</v>
      </c>
    </row>
    <row r="19" spans="7:8" x14ac:dyDescent="0.3">
      <c r="G19" s="3" t="s">
        <v>18</v>
      </c>
      <c r="H19">
        <v>28813.3577</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29199-6CDF-4174-996C-882A58EBB953}">
  <dimension ref="A1"/>
  <sheetViews>
    <sheetView showGridLines="0" tabSelected="1" zoomScale="69" zoomScaleNormal="100" workbookViewId="0">
      <selection activeCell="AD9" sqref="AD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 tables and slicers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gunasundhari</dc:creator>
  <cp:keywords/>
  <dc:description/>
  <cp:lastModifiedBy>guna sundhari</cp:lastModifiedBy>
  <cp:revision/>
  <dcterms:created xsi:type="dcterms:W3CDTF">2025-12-14T07:13:06Z</dcterms:created>
  <dcterms:modified xsi:type="dcterms:W3CDTF">2026-06-09T11:22:15Z</dcterms:modified>
  <cp:category/>
  <cp:contentStatus/>
</cp:coreProperties>
</file>